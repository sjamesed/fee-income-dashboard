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kesr.sharepoint.com/sites/esrks_fmf/Shared Documents/General/Finance team only/KSLP Finance/00 Capital call/"/>
    </mc:Choice>
  </mc:AlternateContent>
  <xr:revisionPtr revIDLastSave="419" documentId="13_ncr:1_{193FD332-AB10-41A9-AD38-C1D4D4BA6151}" xr6:coauthVersionLast="47" xr6:coauthVersionMax="47" xr10:uidLastSave="{0D2F23C5-C4B7-4C1D-AB3F-22B76959F04C}"/>
  <bookViews>
    <workbookView xWindow="-120" yWindow="-120" windowWidth="30960" windowHeight="16800" firstSheet="2" activeTab="3" xr2:uid="{00000000-000D-0000-FFFF-FFFF00000000}"/>
  </bookViews>
  <sheets>
    <sheet name="Capital call-Terra" sheetId="4" state="hidden" r:id="rId1"/>
    <sheet name="Acqui fund" sheetId="2" state="hidden" r:id="rId2"/>
    <sheet name="Dev JV1_Capital call-Star" sheetId="1" r:id="rId3"/>
    <sheet name="Dev JV2_Capital call-Nova" sheetId="6" r:id="rId4"/>
    <sheet name="Sunwood Byul" sheetId="8" r:id="rId5"/>
    <sheet name="Dangmok" sheetId="7" r:id="rId6"/>
    <sheet name="Income JV call" sheetId="5" state="hidden" r:id="rId7"/>
  </sheets>
  <definedNames>
    <definedName name="_xlnm._FilterDatabase" localSheetId="2" hidden="1">'Dev JV1_Capital call-Star'!$B$183:$Y$372</definedName>
    <definedName name="_xlnm._FilterDatabase" localSheetId="3" hidden="1">'Dev JV2_Capital call-Nova'!$B$2:$N$148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5" i="7" l="1"/>
  <c r="F38" i="7"/>
  <c r="M31" i="8"/>
  <c r="L31" i="8"/>
  <c r="K31" i="8"/>
  <c r="J31" i="8"/>
  <c r="I31" i="8"/>
  <c r="H31" i="8"/>
  <c r="G31" i="8"/>
  <c r="F31" i="8"/>
  <c r="M14" i="8"/>
  <c r="L14" i="8"/>
  <c r="K14" i="8"/>
  <c r="J14" i="8"/>
  <c r="I14" i="8"/>
  <c r="H14" i="8"/>
  <c r="G14" i="8"/>
  <c r="F14" i="8"/>
  <c r="N146" i="6" l="1"/>
  <c r="M146" i="6"/>
  <c r="L146" i="6"/>
  <c r="K146" i="6"/>
  <c r="J146" i="6"/>
  <c r="I146" i="6"/>
  <c r="H146" i="6"/>
  <c r="G146" i="6"/>
  <c r="F146" i="6"/>
  <c r="K71" i="6"/>
  <c r="N71" i="6"/>
  <c r="M71" i="6"/>
  <c r="L71" i="6"/>
  <c r="J71" i="6"/>
  <c r="I71" i="6"/>
  <c r="H71" i="6"/>
  <c r="G71" i="6"/>
  <c r="F71" i="6"/>
  <c r="P65" i="6" l="1"/>
  <c r="G36" i="8" l="1"/>
  <c r="U357" i="1" l="1"/>
  <c r="K158" i="6" l="1"/>
  <c r="H32" i="8" l="1"/>
  <c r="K152" i="6"/>
  <c r="J11" i="7" l="1"/>
  <c r="L75" i="6"/>
  <c r="K75" i="6"/>
  <c r="I75" i="6"/>
  <c r="P133" i="6" l="1"/>
  <c r="P132" i="6"/>
  <c r="S122" i="6"/>
  <c r="S126" i="6" s="1"/>
  <c r="V175" i="1" l="1"/>
  <c r="U1" i="1" l="1"/>
  <c r="P129" i="6"/>
  <c r="I6" i="8"/>
  <c r="F6" i="8"/>
  <c r="G6" i="8"/>
  <c r="H6" i="8"/>
  <c r="F31" i="7"/>
  <c r="G17" i="8" l="1"/>
  <c r="J18" i="6"/>
  <c r="M136" i="8"/>
  <c r="L136" i="8"/>
  <c r="K136" i="8"/>
  <c r="J136" i="8"/>
  <c r="I136" i="8"/>
  <c r="H136" i="8"/>
  <c r="G136" i="8"/>
  <c r="F136" i="8"/>
  <c r="F174" i="1" l="1"/>
  <c r="N148" i="6" l="1"/>
  <c r="M148" i="6"/>
  <c r="K148" i="6"/>
  <c r="J148" i="6"/>
  <c r="F148" i="6"/>
  <c r="M73" i="6"/>
  <c r="K150" i="6"/>
  <c r="K53" i="6"/>
  <c r="K72" i="6" s="1"/>
  <c r="I53" i="6" l="1"/>
  <c r="H53" i="6"/>
  <c r="F30" i="7" l="1"/>
  <c r="F44" i="7" l="1"/>
  <c r="H5" i="8"/>
  <c r="H21" i="8"/>
  <c r="H51" i="6"/>
  <c r="I51" i="6"/>
  <c r="K51" i="6"/>
  <c r="H36" i="8" l="1"/>
  <c r="X175" i="1"/>
  <c r="D20" i="8" l="1"/>
  <c r="F20" i="8" s="1"/>
  <c r="E20" i="8"/>
  <c r="F19" i="8"/>
  <c r="M19" i="8"/>
  <c r="L19" i="8"/>
  <c r="K19" i="8"/>
  <c r="K74" i="8" s="1"/>
  <c r="J19" i="8"/>
  <c r="I19" i="8"/>
  <c r="H19" i="8"/>
  <c r="G19" i="8"/>
  <c r="AF351" i="1"/>
  <c r="AF345" i="1"/>
  <c r="AF341" i="1"/>
  <c r="AF336" i="1"/>
  <c r="AF330" i="1"/>
  <c r="AF326" i="1"/>
  <c r="AF321" i="1"/>
  <c r="AF316" i="1"/>
  <c r="AF313" i="1"/>
  <c r="AF310" i="1"/>
  <c r="AF308" i="1"/>
  <c r="AF304" i="1"/>
  <c r="AF299" i="1"/>
  <c r="AF297" i="1"/>
  <c r="AF294" i="1"/>
  <c r="AF289" i="1"/>
  <c r="AF285" i="1"/>
  <c r="AF278" i="1"/>
  <c r="AF275" i="1"/>
  <c r="AF272" i="1"/>
  <c r="AF267" i="1"/>
  <c r="AF261" i="1"/>
  <c r="AF254" i="1"/>
  <c r="AF252" i="1"/>
  <c r="AF241" i="1"/>
  <c r="AF238" i="1"/>
  <c r="AF234" i="1"/>
  <c r="AF227" i="1"/>
  <c r="AF218" i="1"/>
  <c r="AF214" i="1"/>
  <c r="AF212" i="1"/>
  <c r="F36" i="8" l="1"/>
  <c r="J74" i="8"/>
  <c r="F17" i="8"/>
  <c r="I74" i="8"/>
  <c r="M74" i="8"/>
  <c r="L74" i="8"/>
  <c r="Q3" i="8"/>
  <c r="AE364" i="1"/>
  <c r="AE362" i="1"/>
  <c r="AE361" i="1"/>
  <c r="AE360" i="1"/>
  <c r="AE359" i="1"/>
  <c r="AE358" i="1"/>
  <c r="AE357" i="1"/>
  <c r="AE356" i="1"/>
  <c r="AE355" i="1"/>
  <c r="AE354" i="1"/>
  <c r="AE353" i="1"/>
  <c r="AE352" i="1"/>
  <c r="AE351" i="1"/>
  <c r="AE350" i="1"/>
  <c r="AE349" i="1"/>
  <c r="AE348" i="1"/>
  <c r="AE347" i="1"/>
  <c r="AE346" i="1"/>
  <c r="AE345" i="1"/>
  <c r="AE344" i="1"/>
  <c r="AE343" i="1"/>
  <c r="AE342" i="1"/>
  <c r="AE341" i="1"/>
  <c r="AE340" i="1"/>
  <c r="AE339" i="1"/>
  <c r="AE338" i="1"/>
  <c r="AE337" i="1"/>
  <c r="AE336" i="1"/>
  <c r="AE335" i="1"/>
  <c r="AE334" i="1"/>
  <c r="AE333" i="1"/>
  <c r="AE332" i="1"/>
  <c r="AE331" i="1"/>
  <c r="AE330" i="1"/>
  <c r="AE329" i="1"/>
  <c r="AE328" i="1"/>
  <c r="AE327" i="1"/>
  <c r="AE326" i="1"/>
  <c r="AE325" i="1"/>
  <c r="AE324" i="1"/>
  <c r="AE323" i="1"/>
  <c r="AE322" i="1"/>
  <c r="AE321" i="1"/>
  <c r="AE320" i="1"/>
  <c r="AE319" i="1"/>
  <c r="AE318" i="1"/>
  <c r="AE317" i="1"/>
  <c r="AE316" i="1"/>
  <c r="AE315" i="1"/>
  <c r="AE314" i="1"/>
  <c r="AE313" i="1"/>
  <c r="AE312" i="1"/>
  <c r="AE311" i="1"/>
  <c r="AE310" i="1"/>
  <c r="AE309" i="1"/>
  <c r="AE308" i="1"/>
  <c r="AE307" i="1"/>
  <c r="AE306" i="1"/>
  <c r="AE305" i="1"/>
  <c r="AE304" i="1"/>
  <c r="AE303" i="1"/>
  <c r="AE302" i="1"/>
  <c r="AE301" i="1"/>
  <c r="AE300" i="1"/>
  <c r="AE299" i="1"/>
  <c r="AE298" i="1"/>
  <c r="AE297" i="1"/>
  <c r="AE296" i="1"/>
  <c r="AE295" i="1"/>
  <c r="AE294" i="1"/>
  <c r="AE293" i="1"/>
  <c r="AE292" i="1"/>
  <c r="AE291" i="1"/>
  <c r="AE290" i="1"/>
  <c r="AE289" i="1"/>
  <c r="AE288" i="1"/>
  <c r="AE287" i="1"/>
  <c r="AE286" i="1"/>
  <c r="AE285" i="1"/>
  <c r="AE284" i="1"/>
  <c r="AE283" i="1"/>
  <c r="AE282" i="1"/>
  <c r="AE281" i="1"/>
  <c r="AE280" i="1"/>
  <c r="AE279" i="1"/>
  <c r="AE278" i="1"/>
  <c r="AE277" i="1"/>
  <c r="AE276" i="1"/>
  <c r="AE275" i="1"/>
  <c r="AE274" i="1"/>
  <c r="AE273" i="1"/>
  <c r="AE272" i="1"/>
  <c r="AE271" i="1"/>
  <c r="AE270" i="1"/>
  <c r="AE269" i="1"/>
  <c r="AE268" i="1"/>
  <c r="AE267" i="1"/>
  <c r="AE266" i="1"/>
  <c r="AE265" i="1"/>
  <c r="AE264" i="1"/>
  <c r="AE263" i="1"/>
  <c r="AE262" i="1"/>
  <c r="AE261" i="1"/>
  <c r="AE260" i="1"/>
  <c r="AE259" i="1"/>
  <c r="AE258" i="1"/>
  <c r="AE257" i="1"/>
  <c r="AE256" i="1"/>
  <c r="AE255" i="1"/>
  <c r="AE254" i="1"/>
  <c r="AE253" i="1"/>
  <c r="AE252" i="1"/>
  <c r="AE251" i="1"/>
  <c r="AE250" i="1"/>
  <c r="AE249" i="1"/>
  <c r="AE248" i="1"/>
  <c r="AE247" i="1"/>
  <c r="AE246" i="1"/>
  <c r="AE245" i="1"/>
  <c r="AE244" i="1"/>
  <c r="AE243" i="1"/>
  <c r="AE242" i="1"/>
  <c r="AE241" i="1"/>
  <c r="AE240" i="1"/>
  <c r="AE239" i="1"/>
  <c r="AE238" i="1"/>
  <c r="AE237" i="1"/>
  <c r="AE236" i="1"/>
  <c r="AE235" i="1"/>
  <c r="AE234" i="1"/>
  <c r="AE233" i="1"/>
  <c r="AE232" i="1"/>
  <c r="AE231" i="1"/>
  <c r="AE230" i="1"/>
  <c r="AE229" i="1"/>
  <c r="AE228" i="1"/>
  <c r="AE227" i="1"/>
  <c r="AE226" i="1"/>
  <c r="AE225" i="1"/>
  <c r="AE224" i="1"/>
  <c r="AE223" i="1"/>
  <c r="AE222" i="1"/>
  <c r="AE221" i="1"/>
  <c r="AE220" i="1"/>
  <c r="AE219" i="1"/>
  <c r="AE218" i="1"/>
  <c r="AE217" i="1"/>
  <c r="AE216" i="1"/>
  <c r="AE215" i="1"/>
  <c r="AE214" i="1"/>
  <c r="AE213" i="1"/>
  <c r="AE212" i="1"/>
  <c r="AE211" i="1"/>
  <c r="AE210" i="1"/>
  <c r="AE209" i="1"/>
  <c r="AE208" i="1"/>
  <c r="AE207" i="1"/>
  <c r="AE206" i="1"/>
  <c r="AE205" i="1"/>
  <c r="AE204" i="1"/>
  <c r="AE203" i="1"/>
  <c r="AE202" i="1"/>
  <c r="AE201" i="1"/>
  <c r="AE200" i="1"/>
  <c r="AE199" i="1"/>
  <c r="AE198" i="1"/>
  <c r="AE197" i="1"/>
  <c r="AE196" i="1"/>
  <c r="AE195" i="1"/>
  <c r="AE194" i="1"/>
  <c r="AE193" i="1"/>
  <c r="AE192" i="1"/>
  <c r="AE191" i="1"/>
  <c r="AE190" i="1"/>
  <c r="AE189" i="1"/>
  <c r="AE188" i="1"/>
  <c r="AE187" i="1"/>
  <c r="AE186" i="1"/>
  <c r="AE185" i="1"/>
  <c r="AE184" i="1"/>
  <c r="G74" i="8" l="1"/>
  <c r="F74" i="8"/>
  <c r="E14" i="8"/>
  <c r="H17" i="8"/>
  <c r="E31" i="8"/>
  <c r="H74" i="8" l="1"/>
  <c r="K47" i="6"/>
  <c r="I46" i="6"/>
  <c r="Y357" i="1" l="1"/>
  <c r="X357" i="1"/>
  <c r="W357" i="1"/>
  <c r="V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I160" i="6" l="1"/>
  <c r="H160" i="6"/>
  <c r="G160" i="6"/>
  <c r="I159" i="6"/>
  <c r="H159" i="6"/>
  <c r="G158" i="6"/>
  <c r="J391" i="1"/>
  <c r="I391" i="1"/>
  <c r="H391" i="1"/>
  <c r="G391" i="1"/>
  <c r="J390" i="1"/>
  <c r="I390" i="1"/>
  <c r="H390" i="1"/>
  <c r="G390" i="1"/>
  <c r="J389" i="1"/>
  <c r="I389" i="1"/>
  <c r="H389" i="1"/>
  <c r="G389" i="1"/>
  <c r="J388" i="1"/>
  <c r="I388" i="1"/>
  <c r="H388" i="1"/>
  <c r="G388" i="1"/>
  <c r="G386" i="1"/>
  <c r="F153" i="6"/>
  <c r="F160" i="6" s="1"/>
  <c r="F152" i="6"/>
  <c r="F159" i="6" s="1"/>
  <c r="I151" i="6"/>
  <c r="I158" i="6" s="1"/>
  <c r="H151" i="6"/>
  <c r="H158" i="6" s="1"/>
  <c r="F151" i="6"/>
  <c r="F158" i="6" s="1"/>
  <c r="G384" i="1"/>
  <c r="G383" i="1"/>
  <c r="I382" i="1"/>
  <c r="G382" i="1"/>
  <c r="I381" i="1"/>
  <c r="H381" i="1"/>
  <c r="G381" i="1"/>
  <c r="P118" i="6"/>
  <c r="P112" i="6"/>
  <c r="R112" i="6" s="1"/>
  <c r="I118" i="6" l="1"/>
  <c r="I43" i="6"/>
  <c r="G152" i="6" l="1"/>
  <c r="P117" i="6"/>
  <c r="F357" i="1"/>
  <c r="F155" i="6" l="1"/>
  <c r="G159" i="6"/>
  <c r="G243" i="1"/>
  <c r="O147" i="1"/>
  <c r="U160" i="1"/>
  <c r="U159" i="1"/>
  <c r="H42" i="6" l="1"/>
  <c r="I41" i="6"/>
  <c r="K39" i="6"/>
  <c r="V165" i="1" l="1"/>
  <c r="O164" i="1"/>
  <c r="X163" i="1"/>
  <c r="U162" i="1"/>
  <c r="I24" i="6" l="1"/>
  <c r="H24" i="6"/>
  <c r="O159" i="1"/>
  <c r="X159" i="1"/>
  <c r="V159" i="1"/>
  <c r="V158" i="1"/>
  <c r="O158" i="1"/>
  <c r="U158" i="1"/>
  <c r="K36" i="6" l="1"/>
  <c r="J35" i="6"/>
  <c r="I34" i="6"/>
  <c r="H33" i="6"/>
  <c r="I107" i="6" l="1"/>
  <c r="I147" i="6" l="1"/>
  <c r="I148" i="6"/>
  <c r="F214" i="1"/>
  <c r="F30" i="6"/>
  <c r="U338" i="1" l="1"/>
  <c r="U337" i="1"/>
  <c r="U336" i="1"/>
  <c r="U154" i="1"/>
  <c r="U153" i="1"/>
  <c r="U152" i="1"/>
  <c r="U174" i="1" l="1"/>
  <c r="X363" i="1" l="1"/>
  <c r="W363" i="1"/>
  <c r="U363" i="1"/>
  <c r="AE363" i="1" s="1"/>
  <c r="R363" i="1"/>
  <c r="K29" i="6"/>
  <c r="J28" i="6"/>
  <c r="I27" i="6"/>
  <c r="H26" i="6"/>
  <c r="AE3" i="1" l="1"/>
  <c r="AE152" i="1" l="1"/>
  <c r="AE148" i="1"/>
  <c r="AE146" i="1"/>
  <c r="AE110" i="1"/>
  <c r="AE104" i="1"/>
  <c r="AE99" i="1"/>
  <c r="AE98" i="1"/>
  <c r="AE97" i="1"/>
  <c r="AE96" i="1"/>
  <c r="AE93" i="1"/>
  <c r="AE90" i="1"/>
  <c r="AE89" i="1"/>
  <c r="AE88" i="1"/>
  <c r="AE83" i="1"/>
  <c r="AE82" i="1"/>
  <c r="AE81" i="1"/>
  <c r="AE80" i="1"/>
  <c r="AE79" i="1"/>
  <c r="AE77" i="1"/>
  <c r="AE76" i="1"/>
  <c r="AE75" i="1"/>
  <c r="AE73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6" i="1"/>
  <c r="AE24" i="1"/>
  <c r="AE23" i="1"/>
  <c r="AE22" i="1"/>
  <c r="AE21" i="1"/>
  <c r="AE20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5" i="1"/>
  <c r="AE4" i="1"/>
  <c r="O153" i="1" l="1"/>
  <c r="V154" i="1"/>
  <c r="V153" i="1"/>
  <c r="O154" i="1"/>
  <c r="X154" i="1"/>
  <c r="X153" i="1"/>
  <c r="V174" i="1" l="1"/>
  <c r="X174" i="1"/>
  <c r="AE154" i="1"/>
  <c r="O174" i="1"/>
  <c r="AE153" i="1"/>
  <c r="O155" i="1"/>
  <c r="AE155" i="1" s="1"/>
  <c r="AE151" i="1" l="1"/>
  <c r="AE150" i="1" l="1"/>
  <c r="V149" i="1"/>
  <c r="AE149" i="1" l="1"/>
  <c r="Y370" i="1"/>
  <c r="X370" i="1"/>
  <c r="W370" i="1"/>
  <c r="U370" i="1"/>
  <c r="T370" i="1"/>
  <c r="S370" i="1"/>
  <c r="R370" i="1"/>
  <c r="Q370" i="1"/>
  <c r="P370" i="1"/>
  <c r="O370" i="1"/>
  <c r="N370" i="1"/>
  <c r="M370" i="1"/>
  <c r="L370" i="1"/>
  <c r="J370" i="1"/>
  <c r="I370" i="1"/>
  <c r="H370" i="1"/>
  <c r="G370" i="1"/>
  <c r="F370" i="1"/>
  <c r="X147" i="1" l="1"/>
  <c r="V147" i="1"/>
  <c r="U147" i="1"/>
  <c r="R147" i="1"/>
  <c r="AE147" i="1" l="1"/>
  <c r="X145" i="1"/>
  <c r="U145" i="1"/>
  <c r="AE145" i="1" l="1"/>
  <c r="R143" i="1"/>
  <c r="N144" i="1"/>
  <c r="AE144" i="1" s="1"/>
  <c r="Y143" i="1"/>
  <c r="X143" i="1"/>
  <c r="V143" i="1"/>
  <c r="U143" i="1"/>
  <c r="P143" i="1"/>
  <c r="O143" i="1"/>
  <c r="N143" i="1"/>
  <c r="M143" i="1"/>
  <c r="L143" i="1"/>
  <c r="F143" i="1"/>
  <c r="X142" i="1"/>
  <c r="AE142" i="1" s="1"/>
  <c r="AE143" i="1" l="1"/>
  <c r="S375" i="1"/>
  <c r="S374" i="1"/>
  <c r="U374" i="1" s="1"/>
  <c r="P369" i="1"/>
  <c r="V141" i="1"/>
  <c r="X141" i="1"/>
  <c r="AK200" i="1"/>
  <c r="K23" i="6"/>
  <c r="X140" i="1"/>
  <c r="O140" i="1"/>
  <c r="J22" i="6"/>
  <c r="K21" i="6"/>
  <c r="H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G139" i="1"/>
  <c r="F139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K76" i="6"/>
  <c r="V136" i="1"/>
  <c r="X136" i="1"/>
  <c r="U136" i="1"/>
  <c r="O100" i="1"/>
  <c r="I20" i="6"/>
  <c r="H20" i="6"/>
  <c r="J76" i="6"/>
  <c r="I18" i="6"/>
  <c r="H18" i="6"/>
  <c r="G18" i="6"/>
  <c r="I19" i="6"/>
  <c r="U135" i="1"/>
  <c r="X135" i="1"/>
  <c r="U365" i="1"/>
  <c r="U133" i="1"/>
  <c r="X121" i="1"/>
  <c r="U132" i="1"/>
  <c r="AE132" i="1" s="1"/>
  <c r="P134" i="1"/>
  <c r="X133" i="1"/>
  <c r="V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K318" i="1"/>
  <c r="K370" i="1" s="1"/>
  <c r="Y211" i="1"/>
  <c r="X129" i="1"/>
  <c r="F17" i="6"/>
  <c r="H15" i="6"/>
  <c r="R109" i="1"/>
  <c r="U129" i="1"/>
  <c r="P131" i="1"/>
  <c r="J131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I14" i="6"/>
  <c r="I76" i="6"/>
  <c r="S127" i="1"/>
  <c r="F368" i="1"/>
  <c r="U126" i="1"/>
  <c r="Y126" i="1"/>
  <c r="X126" i="1"/>
  <c r="W126" i="1"/>
  <c r="V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Y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Y127" i="1"/>
  <c r="X127" i="1"/>
  <c r="W127" i="1"/>
  <c r="V127" i="1"/>
  <c r="U127" i="1"/>
  <c r="T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K368" i="1"/>
  <c r="J368" i="1"/>
  <c r="I368" i="1"/>
  <c r="H368" i="1"/>
  <c r="G368" i="1"/>
  <c r="V125" i="1"/>
  <c r="AE125" i="1" s="1"/>
  <c r="AA173" i="1"/>
  <c r="AB173" i="1"/>
  <c r="AC173" i="1"/>
  <c r="AD173" i="1"/>
  <c r="V308" i="1"/>
  <c r="H12" i="6"/>
  <c r="H82" i="6"/>
  <c r="U123" i="1"/>
  <c r="AE123" i="1" s="1"/>
  <c r="P122" i="1"/>
  <c r="J122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V121" i="1"/>
  <c r="V120" i="1"/>
  <c r="AE120" i="1" s="1"/>
  <c r="V100" i="1"/>
  <c r="U119" i="1"/>
  <c r="V119" i="1"/>
  <c r="X118" i="1"/>
  <c r="AE118" i="1" s="1"/>
  <c r="F116" i="1"/>
  <c r="J117" i="1"/>
  <c r="AE117" i="1" s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U115" i="1"/>
  <c r="S115" i="1"/>
  <c r="R115" i="1"/>
  <c r="G204" i="1"/>
  <c r="G196" i="1"/>
  <c r="X113" i="1"/>
  <c r="S113" i="1"/>
  <c r="G6" i="6"/>
  <c r="N76" i="6"/>
  <c r="M76" i="6"/>
  <c r="N8" i="6"/>
  <c r="H9" i="6"/>
  <c r="H76" i="6"/>
  <c r="X114" i="1"/>
  <c r="AE114" i="1" s="1"/>
  <c r="W365" i="1"/>
  <c r="W372" i="1" s="1"/>
  <c r="X183" i="1"/>
  <c r="AL224" i="1"/>
  <c r="J112" i="1"/>
  <c r="AE112" i="1" s="1"/>
  <c r="Y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G77" i="6"/>
  <c r="W183" i="1"/>
  <c r="S109" i="1"/>
  <c r="F5" i="6"/>
  <c r="W106" i="1"/>
  <c r="V106" i="1"/>
  <c r="W108" i="1"/>
  <c r="P108" i="1"/>
  <c r="J108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W105" i="1"/>
  <c r="T367" i="1"/>
  <c r="U367" i="1"/>
  <c r="S367" i="1"/>
  <c r="R367" i="1"/>
  <c r="Q367" i="1"/>
  <c r="K367" i="1"/>
  <c r="L367" i="1"/>
  <c r="M367" i="1"/>
  <c r="N367" i="1"/>
  <c r="O367" i="1"/>
  <c r="J367" i="1"/>
  <c r="G197" i="1"/>
  <c r="G187" i="1"/>
  <c r="G4" i="6"/>
  <c r="G78" i="6"/>
  <c r="Y281" i="1"/>
  <c r="U102" i="1"/>
  <c r="U101" i="1" s="1"/>
  <c r="AE101" i="1" s="1"/>
  <c r="J103" i="1"/>
  <c r="AE103" i="1" s="1"/>
  <c r="T102" i="1"/>
  <c r="S102" i="1"/>
  <c r="R102" i="1"/>
  <c r="Q102" i="1"/>
  <c r="O102" i="1"/>
  <c r="N102" i="1"/>
  <c r="L102" i="1"/>
  <c r="K102" i="1"/>
  <c r="J102" i="1"/>
  <c r="I102" i="1"/>
  <c r="H102" i="1"/>
  <c r="G102" i="1"/>
  <c r="F102" i="1"/>
  <c r="G76" i="6"/>
  <c r="AK195" i="1"/>
  <c r="L95" i="1"/>
  <c r="AE95" i="1" s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18" i="5"/>
  <c r="D18" i="5"/>
  <c r="AI191" i="1"/>
  <c r="T92" i="1"/>
  <c r="T91" i="1" s="1"/>
  <c r="Q92" i="1"/>
  <c r="S91" i="1"/>
  <c r="R92" i="1"/>
  <c r="O92" i="1"/>
  <c r="N92" i="1"/>
  <c r="M92" i="1"/>
  <c r="L92" i="1"/>
  <c r="K92" i="1"/>
  <c r="J92" i="1"/>
  <c r="I92" i="1"/>
  <c r="H92" i="1"/>
  <c r="G92" i="1"/>
  <c r="F92" i="1"/>
  <c r="Q276" i="1"/>
  <c r="T276" i="1"/>
  <c r="T275" i="1" s="1"/>
  <c r="S276" i="1"/>
  <c r="S275" i="1" s="1"/>
  <c r="Q86" i="1"/>
  <c r="S86" i="1"/>
  <c r="T86" i="1"/>
  <c r="AI187" i="1"/>
  <c r="AI185" i="1"/>
  <c r="AI193" i="1"/>
  <c r="AI192" i="1"/>
  <c r="AI188" i="1"/>
  <c r="AI186" i="1"/>
  <c r="AI184" i="1"/>
  <c r="AI3" i="1"/>
  <c r="AH11" i="1"/>
  <c r="AI13" i="1"/>
  <c r="AI12" i="1"/>
  <c r="AI10" i="1"/>
  <c r="AI7" i="1"/>
  <c r="AI5" i="1"/>
  <c r="AI190" i="1"/>
  <c r="AI189" i="1"/>
  <c r="AL189" i="1"/>
  <c r="AI8" i="1"/>
  <c r="AL8" i="1"/>
  <c r="AI9" i="1"/>
  <c r="AI6" i="1"/>
  <c r="J87" i="1"/>
  <c r="AE87" i="1" s="1"/>
  <c r="J86" i="1"/>
  <c r="J85" i="1"/>
  <c r="AE85" i="1" s="1"/>
  <c r="P84" i="1"/>
  <c r="AE84" i="1" s="1"/>
  <c r="P86" i="1"/>
  <c r="R86" i="1"/>
  <c r="G18" i="5"/>
  <c r="F18" i="5"/>
  <c r="P10" i="5"/>
  <c r="P11" i="5"/>
  <c r="N11" i="5"/>
  <c r="M10" i="5"/>
  <c r="M11" i="5"/>
  <c r="O10" i="5"/>
  <c r="O11" i="5"/>
  <c r="H18" i="5"/>
  <c r="K78" i="1"/>
  <c r="AE78" i="1" s="1"/>
  <c r="J71" i="1"/>
  <c r="J72" i="1"/>
  <c r="AE72" i="1" s="1"/>
  <c r="Y178" i="1"/>
  <c r="Y74" i="1"/>
  <c r="AE74" i="1" s="1"/>
  <c r="T179" i="1"/>
  <c r="W178" i="1"/>
  <c r="R179" i="1"/>
  <c r="P71" i="1"/>
  <c r="G36" i="4"/>
  <c r="F36" i="4"/>
  <c r="G35" i="4"/>
  <c r="F35" i="4"/>
  <c r="G34" i="4"/>
  <c r="F34" i="4"/>
  <c r="G33" i="4"/>
  <c r="F33" i="4"/>
  <c r="G32" i="4"/>
  <c r="F32" i="4"/>
  <c r="G30" i="4"/>
  <c r="F30" i="4"/>
  <c r="F29" i="4"/>
  <c r="F28" i="4"/>
  <c r="F27" i="4"/>
  <c r="G44" i="4"/>
  <c r="F44" i="4"/>
  <c r="G43" i="4"/>
  <c r="F43" i="4"/>
  <c r="G42" i="4"/>
  <c r="F42" i="4"/>
  <c r="G41" i="4"/>
  <c r="F41" i="4"/>
  <c r="G40" i="4"/>
  <c r="G21" i="4"/>
  <c r="G20" i="4"/>
  <c r="G19" i="4"/>
  <c r="G18" i="4"/>
  <c r="G17" i="4"/>
  <c r="F21" i="4"/>
  <c r="F20" i="4"/>
  <c r="F19" i="4"/>
  <c r="F18" i="4"/>
  <c r="F13" i="4"/>
  <c r="F12" i="4"/>
  <c r="F11" i="4"/>
  <c r="F10" i="4"/>
  <c r="F9" i="4"/>
  <c r="F8" i="4"/>
  <c r="F7" i="4"/>
  <c r="F6" i="4"/>
  <c r="F5" i="4"/>
  <c r="G13" i="4"/>
  <c r="G12" i="4"/>
  <c r="G11" i="4"/>
  <c r="G10" i="4"/>
  <c r="G9" i="4"/>
  <c r="G8" i="4"/>
  <c r="G7" i="4"/>
  <c r="G6" i="4"/>
  <c r="G4" i="4"/>
  <c r="U37" i="4"/>
  <c r="T37" i="4"/>
  <c r="T39" i="4"/>
  <c r="U14" i="4"/>
  <c r="T14" i="4"/>
  <c r="T16" i="4"/>
  <c r="R37" i="4"/>
  <c r="R39" i="4"/>
  <c r="S37" i="4"/>
  <c r="S14" i="4"/>
  <c r="R14" i="4"/>
  <c r="R16" i="4"/>
  <c r="J6" i="1"/>
  <c r="I6" i="1"/>
  <c r="H6" i="1"/>
  <c r="AL185" i="1"/>
  <c r="H182" i="1"/>
  <c r="Y57" i="1"/>
  <c r="Q57" i="1"/>
  <c r="P57" i="1"/>
  <c r="O57" i="1"/>
  <c r="N57" i="1"/>
  <c r="M57" i="1"/>
  <c r="L57" i="1"/>
  <c r="L179" i="1" s="1"/>
  <c r="K57" i="1"/>
  <c r="I57" i="1"/>
  <c r="I179" i="1" s="1"/>
  <c r="H57" i="1"/>
  <c r="H179" i="1" s="1"/>
  <c r="G57" i="1"/>
  <c r="F57" i="1"/>
  <c r="J56" i="1"/>
  <c r="AE56" i="1" s="1"/>
  <c r="Q178" i="1"/>
  <c r="Q177" i="1"/>
  <c r="Q176" i="1"/>
  <c r="G16" i="4"/>
  <c r="W29" i="4"/>
  <c r="W28" i="4"/>
  <c r="W27" i="4"/>
  <c r="W37" i="4"/>
  <c r="Q29" i="4"/>
  <c r="Q28" i="4"/>
  <c r="Q27" i="4"/>
  <c r="O29" i="4"/>
  <c r="O28" i="4"/>
  <c r="O37" i="4"/>
  <c r="O27" i="4"/>
  <c r="M29" i="4"/>
  <c r="M28" i="4"/>
  <c r="M37" i="4"/>
  <c r="M27" i="4"/>
  <c r="K29" i="4"/>
  <c r="K27" i="4"/>
  <c r="I29" i="4"/>
  <c r="G29" i="4"/>
  <c r="I28" i="4"/>
  <c r="I27" i="4"/>
  <c r="H4" i="4"/>
  <c r="H14" i="4"/>
  <c r="H16" i="4"/>
  <c r="P4" i="4"/>
  <c r="N4" i="4"/>
  <c r="N14" i="4"/>
  <c r="N16" i="4"/>
  <c r="N17" i="4"/>
  <c r="N40" i="4"/>
  <c r="L4" i="4"/>
  <c r="J4" i="4"/>
  <c r="D4" i="4"/>
  <c r="Q37" i="4"/>
  <c r="P37" i="4"/>
  <c r="P39" i="4"/>
  <c r="N37" i="4"/>
  <c r="N39" i="4"/>
  <c r="L37" i="4"/>
  <c r="L39" i="4"/>
  <c r="J37" i="4"/>
  <c r="J39" i="4"/>
  <c r="I37" i="4"/>
  <c r="Y14" i="4"/>
  <c r="Y16" i="4"/>
  <c r="P14" i="4"/>
  <c r="P16" i="4"/>
  <c r="P17" i="4"/>
  <c r="P40" i="4"/>
  <c r="O14" i="4"/>
  <c r="M14" i="4"/>
  <c r="L14" i="4"/>
  <c r="L16" i="4"/>
  <c r="L17" i="4"/>
  <c r="L40" i="4"/>
  <c r="J14" i="4"/>
  <c r="J16" i="4"/>
  <c r="J17" i="4"/>
  <c r="J40" i="4"/>
  <c r="I14" i="4"/>
  <c r="K5" i="4"/>
  <c r="K28" i="4"/>
  <c r="K14" i="4"/>
  <c r="W14" i="4"/>
  <c r="Y37" i="4"/>
  <c r="Y39" i="4"/>
  <c r="Q14" i="4"/>
  <c r="H37" i="4"/>
  <c r="H39" i="4"/>
  <c r="J240" i="1"/>
  <c r="J57" i="1" s="1"/>
  <c r="K229" i="1"/>
  <c r="I209" i="1"/>
  <c r="I367" i="1" s="1"/>
  <c r="I210" i="1"/>
  <c r="I219" i="1"/>
  <c r="I225" i="1"/>
  <c r="I191" i="1"/>
  <c r="I229" i="1"/>
  <c r="J6" i="2"/>
  <c r="G6" i="2"/>
  <c r="K6" i="2"/>
  <c r="J5" i="2"/>
  <c r="G5" i="2"/>
  <c r="K5" i="2"/>
  <c r="P194" i="1"/>
  <c r="F195" i="1"/>
  <c r="K3" i="2"/>
  <c r="J4" i="2"/>
  <c r="J3" i="2"/>
  <c r="G4" i="2"/>
  <c r="K4" i="2"/>
  <c r="H202" i="1"/>
  <c r="J229" i="1"/>
  <c r="L228" i="1"/>
  <c r="Y228" i="1"/>
  <c r="P228" i="1"/>
  <c r="N228" i="1"/>
  <c r="M228" i="1"/>
  <c r="K228" i="1"/>
  <c r="J228" i="1"/>
  <c r="I228" i="1"/>
  <c r="H228" i="1"/>
  <c r="G228" i="1"/>
  <c r="F228" i="1"/>
  <c r="E228" i="1"/>
  <c r="D228" i="1"/>
  <c r="L210" i="1"/>
  <c r="F187" i="1"/>
  <c r="F6" i="1" s="1"/>
  <c r="C227" i="1"/>
  <c r="Y229" i="1"/>
  <c r="O229" i="1"/>
  <c r="N229" i="1"/>
  <c r="M229" i="1"/>
  <c r="L229" i="1"/>
  <c r="H229" i="1"/>
  <c r="G229" i="1"/>
  <c r="F229" i="1"/>
  <c r="E229" i="1"/>
  <c r="D229" i="1"/>
  <c r="Y227" i="1"/>
  <c r="P227" i="1"/>
  <c r="O227" i="1"/>
  <c r="N227" i="1"/>
  <c r="M227" i="1"/>
  <c r="K227" i="1"/>
  <c r="J227" i="1"/>
  <c r="I227" i="1"/>
  <c r="H227" i="1"/>
  <c r="G227" i="1"/>
  <c r="F227" i="1"/>
  <c r="E227" i="1"/>
  <c r="D227" i="1"/>
  <c r="B227" i="1"/>
  <c r="Y210" i="1"/>
  <c r="P210" i="1"/>
  <c r="K210" i="1"/>
  <c r="J210" i="1"/>
  <c r="G210" i="1"/>
  <c r="F210" i="1"/>
  <c r="D210" i="1"/>
  <c r="E205" i="1"/>
  <c r="D205" i="1"/>
  <c r="D207" i="1"/>
  <c r="D206" i="1"/>
  <c r="L25" i="1"/>
  <c r="H206" i="1"/>
  <c r="L206" i="1" s="1"/>
  <c r="Y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B226" i="1"/>
  <c r="AD220" i="1"/>
  <c r="AD357" i="1" s="1"/>
  <c r="AD183" i="1"/>
  <c r="AD179" i="1"/>
  <c r="AD178" i="1"/>
  <c r="AD177" i="1"/>
  <c r="AD176" i="1"/>
  <c r="Y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C178" i="1"/>
  <c r="AB178" i="1"/>
  <c r="AA178" i="1"/>
  <c r="Z178" i="1"/>
  <c r="P178" i="1"/>
  <c r="O178" i="1"/>
  <c r="N178" i="1"/>
  <c r="M178" i="1"/>
  <c r="K178" i="1"/>
  <c r="I178" i="1"/>
  <c r="H178" i="1"/>
  <c r="G178" i="1"/>
  <c r="F178" i="1"/>
  <c r="AC179" i="1"/>
  <c r="AB179" i="1"/>
  <c r="AA179" i="1"/>
  <c r="Y225" i="1"/>
  <c r="P225" i="1"/>
  <c r="O225" i="1"/>
  <c r="N225" i="1"/>
  <c r="M225" i="1"/>
  <c r="L225" i="1"/>
  <c r="K225" i="1"/>
  <c r="J225" i="1"/>
  <c r="H225" i="1"/>
  <c r="G225" i="1"/>
  <c r="F225" i="1"/>
  <c r="E225" i="1"/>
  <c r="D225" i="1"/>
  <c r="B225" i="1"/>
  <c r="B223" i="1"/>
  <c r="AC183" i="1"/>
  <c r="AC220" i="1"/>
  <c r="AC357" i="1" s="1"/>
  <c r="AC177" i="1"/>
  <c r="AC176" i="1"/>
  <c r="Y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E215" i="1"/>
  <c r="D215" i="1"/>
  <c r="Y213" i="1"/>
  <c r="P213" i="1"/>
  <c r="O213" i="1"/>
  <c r="N213" i="1"/>
  <c r="M213" i="1"/>
  <c r="L213" i="1"/>
  <c r="K213" i="1"/>
  <c r="J213" i="1"/>
  <c r="I213" i="1"/>
  <c r="H213" i="1"/>
  <c r="G213" i="1"/>
  <c r="F213" i="1"/>
  <c r="Y212" i="1"/>
  <c r="P212" i="1"/>
  <c r="O212" i="1"/>
  <c r="N212" i="1"/>
  <c r="M212" i="1"/>
  <c r="L212" i="1"/>
  <c r="K212" i="1"/>
  <c r="J212" i="1"/>
  <c r="I212" i="1"/>
  <c r="H212" i="1"/>
  <c r="G212" i="1"/>
  <c r="F212" i="1"/>
  <c r="E213" i="1"/>
  <c r="D213" i="1"/>
  <c r="Y208" i="1"/>
  <c r="P208" i="1"/>
  <c r="O208" i="1"/>
  <c r="N208" i="1"/>
  <c r="M208" i="1"/>
  <c r="K208" i="1"/>
  <c r="J208" i="1"/>
  <c r="I208" i="1"/>
  <c r="G208" i="1"/>
  <c r="F208" i="1"/>
  <c r="E208" i="1"/>
  <c r="Y199" i="1"/>
  <c r="Y198" i="1"/>
  <c r="E199" i="1"/>
  <c r="D199" i="1"/>
  <c r="Y201" i="1"/>
  <c r="Y200" i="1"/>
  <c r="J19" i="1"/>
  <c r="AB220" i="1"/>
  <c r="AA220" i="1"/>
  <c r="AB217" i="1"/>
  <c r="AA216" i="1"/>
  <c r="E220" i="1"/>
  <c r="D220" i="1"/>
  <c r="C220" i="1"/>
  <c r="B220" i="1"/>
  <c r="AB177" i="1"/>
  <c r="AA177" i="1"/>
  <c r="AB176" i="1"/>
  <c r="AA176" i="1"/>
  <c r="C219" i="1"/>
  <c r="Y219" i="1"/>
  <c r="P219" i="1"/>
  <c r="O219" i="1"/>
  <c r="N219" i="1"/>
  <c r="M219" i="1"/>
  <c r="L219" i="1"/>
  <c r="J219" i="1"/>
  <c r="H219" i="1"/>
  <c r="G219" i="1"/>
  <c r="F219" i="1"/>
  <c r="E219" i="1"/>
  <c r="D219" i="1"/>
  <c r="C222" i="1"/>
  <c r="B222" i="1"/>
  <c r="Y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O218" i="1"/>
  <c r="Y218" i="1"/>
  <c r="P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N214" i="1"/>
  <c r="Y214" i="1"/>
  <c r="P214" i="1"/>
  <c r="M214" i="1"/>
  <c r="L214" i="1"/>
  <c r="K214" i="1"/>
  <c r="J214" i="1"/>
  <c r="I214" i="1"/>
  <c r="H214" i="1"/>
  <c r="G214" i="1"/>
  <c r="E214" i="1"/>
  <c r="D214" i="1"/>
  <c r="C214" i="1"/>
  <c r="B214" i="1"/>
  <c r="E212" i="1"/>
  <c r="D212" i="1"/>
  <c r="C212" i="1"/>
  <c r="Y177" i="1"/>
  <c r="P177" i="1"/>
  <c r="L177" i="1"/>
  <c r="K177" i="1"/>
  <c r="Y176" i="1"/>
  <c r="P176" i="1"/>
  <c r="L176" i="1"/>
  <c r="K176" i="1"/>
  <c r="J176" i="1"/>
  <c r="I176" i="1"/>
  <c r="H176" i="1"/>
  <c r="G176" i="1"/>
  <c r="F176" i="1"/>
  <c r="Y205" i="1"/>
  <c r="P205" i="1"/>
  <c r="L205" i="1"/>
  <c r="K205" i="1"/>
  <c r="J205" i="1"/>
  <c r="I205" i="1"/>
  <c r="H205" i="1"/>
  <c r="G205" i="1"/>
  <c r="F205" i="1"/>
  <c r="B205" i="1"/>
  <c r="D204" i="1"/>
  <c r="D203" i="1"/>
  <c r="D202" i="1"/>
  <c r="D201" i="1"/>
  <c r="Y204" i="1"/>
  <c r="P204" i="1"/>
  <c r="L204" i="1"/>
  <c r="K204" i="1"/>
  <c r="J204" i="1"/>
  <c r="I204" i="1"/>
  <c r="F204" i="1"/>
  <c r="Y203" i="1"/>
  <c r="P203" i="1"/>
  <c r="L203" i="1"/>
  <c r="K203" i="1"/>
  <c r="J203" i="1"/>
  <c r="I203" i="1"/>
  <c r="G203" i="1"/>
  <c r="F203" i="1"/>
  <c r="Y202" i="1"/>
  <c r="P202" i="1"/>
  <c r="L202" i="1"/>
  <c r="K202" i="1"/>
  <c r="J202" i="1"/>
  <c r="I202" i="1"/>
  <c r="G202" i="1"/>
  <c r="F202" i="1"/>
  <c r="P201" i="1"/>
  <c r="L201" i="1"/>
  <c r="K201" i="1"/>
  <c r="I201" i="1"/>
  <c r="H201" i="1"/>
  <c r="G201" i="1"/>
  <c r="F201" i="1"/>
  <c r="P200" i="1"/>
  <c r="L200" i="1"/>
  <c r="K200" i="1"/>
  <c r="I200" i="1"/>
  <c r="H200" i="1"/>
  <c r="G200" i="1"/>
  <c r="E204" i="1"/>
  <c r="E203" i="1"/>
  <c r="E202" i="1"/>
  <c r="E201" i="1"/>
  <c r="E200" i="1"/>
  <c r="D209" i="1"/>
  <c r="D208" i="1"/>
  <c r="D200" i="1"/>
  <c r="D198" i="1"/>
  <c r="D197" i="1"/>
  <c r="D196" i="1"/>
  <c r="D195" i="1"/>
  <c r="D194" i="1"/>
  <c r="D193" i="1"/>
  <c r="D192" i="1"/>
  <c r="D191" i="1"/>
  <c r="D190" i="1"/>
  <c r="D189" i="1"/>
  <c r="D188" i="1"/>
  <c r="D186" i="1"/>
  <c r="D185" i="1"/>
  <c r="D184" i="1"/>
  <c r="Y194" i="1"/>
  <c r="L194" i="1"/>
  <c r="K194" i="1"/>
  <c r="J194" i="1"/>
  <c r="I194" i="1"/>
  <c r="H194" i="1"/>
  <c r="G194" i="1"/>
  <c r="F194" i="1"/>
  <c r="Y209" i="1"/>
  <c r="P209" i="1"/>
  <c r="L209" i="1"/>
  <c r="K209" i="1"/>
  <c r="J209" i="1"/>
  <c r="H209" i="1"/>
  <c r="G209" i="1"/>
  <c r="F209" i="1"/>
  <c r="F200" i="1"/>
  <c r="P198" i="1"/>
  <c r="L198" i="1"/>
  <c r="I198" i="1"/>
  <c r="H198" i="1"/>
  <c r="G198" i="1"/>
  <c r="F198" i="1"/>
  <c r="Y197" i="1"/>
  <c r="P197" i="1"/>
  <c r="L197" i="1"/>
  <c r="K197" i="1"/>
  <c r="J197" i="1"/>
  <c r="I197" i="1"/>
  <c r="H197" i="1"/>
  <c r="F197" i="1"/>
  <c r="Y196" i="1"/>
  <c r="P196" i="1"/>
  <c r="L196" i="1"/>
  <c r="K196" i="1"/>
  <c r="J196" i="1"/>
  <c r="I196" i="1"/>
  <c r="H196" i="1"/>
  <c r="F196" i="1"/>
  <c r="Y195" i="1"/>
  <c r="P195" i="1"/>
  <c r="L195" i="1"/>
  <c r="K195" i="1"/>
  <c r="J195" i="1"/>
  <c r="I195" i="1"/>
  <c r="H195" i="1"/>
  <c r="G195" i="1"/>
  <c r="Y193" i="1"/>
  <c r="P193" i="1"/>
  <c r="L193" i="1"/>
  <c r="K193" i="1"/>
  <c r="J193" i="1"/>
  <c r="I193" i="1"/>
  <c r="H193" i="1"/>
  <c r="G193" i="1"/>
  <c r="F193" i="1"/>
  <c r="Y192" i="1"/>
  <c r="P192" i="1"/>
  <c r="L192" i="1"/>
  <c r="K192" i="1"/>
  <c r="J192" i="1"/>
  <c r="I192" i="1"/>
  <c r="H192" i="1"/>
  <c r="G192" i="1"/>
  <c r="F192" i="1"/>
  <c r="Y191" i="1"/>
  <c r="P191" i="1"/>
  <c r="L191" i="1"/>
  <c r="K191" i="1"/>
  <c r="J191" i="1"/>
  <c r="H191" i="1"/>
  <c r="G191" i="1"/>
  <c r="F191" i="1"/>
  <c r="Y190" i="1"/>
  <c r="P190" i="1"/>
  <c r="L190" i="1"/>
  <c r="K190" i="1"/>
  <c r="J190" i="1"/>
  <c r="I190" i="1"/>
  <c r="H190" i="1"/>
  <c r="G190" i="1"/>
  <c r="F190" i="1"/>
  <c r="Y189" i="1"/>
  <c r="P189" i="1"/>
  <c r="L189" i="1"/>
  <c r="K189" i="1"/>
  <c r="J189" i="1"/>
  <c r="I189" i="1"/>
  <c r="H189" i="1"/>
  <c r="G189" i="1"/>
  <c r="F189" i="1"/>
  <c r="Y188" i="1"/>
  <c r="P188" i="1"/>
  <c r="L188" i="1"/>
  <c r="K188" i="1"/>
  <c r="J188" i="1"/>
  <c r="I188" i="1"/>
  <c r="H188" i="1"/>
  <c r="G188" i="1"/>
  <c r="F188" i="1"/>
  <c r="Y186" i="1"/>
  <c r="P186" i="1"/>
  <c r="L186" i="1"/>
  <c r="K186" i="1"/>
  <c r="J186" i="1"/>
  <c r="I186" i="1"/>
  <c r="H186" i="1"/>
  <c r="F186" i="1"/>
  <c r="Y185" i="1"/>
  <c r="P185" i="1"/>
  <c r="L185" i="1"/>
  <c r="K185" i="1"/>
  <c r="J185" i="1"/>
  <c r="I185" i="1"/>
  <c r="H185" i="1"/>
  <c r="G185" i="1"/>
  <c r="F185" i="1"/>
  <c r="Y184" i="1"/>
  <c r="P184" i="1"/>
  <c r="L184" i="1"/>
  <c r="K184" i="1"/>
  <c r="J184" i="1"/>
  <c r="I184" i="1"/>
  <c r="H184" i="1"/>
  <c r="G184" i="1"/>
  <c r="G28" i="4"/>
  <c r="K37" i="4"/>
  <c r="E37" i="4"/>
  <c r="H17" i="4"/>
  <c r="F16" i="4"/>
  <c r="G27" i="4"/>
  <c r="G37" i="4"/>
  <c r="F4" i="4"/>
  <c r="G5" i="4"/>
  <c r="G14" i="4"/>
  <c r="F14" i="4"/>
  <c r="F37" i="4"/>
  <c r="F39" i="4"/>
  <c r="R365" i="1"/>
  <c r="F17" i="4"/>
  <c r="H40" i="4"/>
  <c r="F40" i="4"/>
  <c r="AK198" i="1"/>
  <c r="R3" i="6" l="1"/>
  <c r="I74" i="6"/>
  <c r="R77" i="6"/>
  <c r="H148" i="6"/>
  <c r="J73" i="6"/>
  <c r="N73" i="6"/>
  <c r="F73" i="6"/>
  <c r="K73" i="6"/>
  <c r="I73" i="6"/>
  <c r="G73" i="6"/>
  <c r="G148" i="6"/>
  <c r="P363" i="1"/>
  <c r="N363" i="1"/>
  <c r="Y363" i="1"/>
  <c r="H363" i="1"/>
  <c r="M363" i="1"/>
  <c r="AH15" i="1"/>
  <c r="AH18" i="1"/>
  <c r="AK10" i="1"/>
  <c r="AH10" i="1" s="1"/>
  <c r="AK5" i="1"/>
  <c r="AH5" i="1" s="1"/>
  <c r="AH17" i="1"/>
  <c r="AK12" i="1"/>
  <c r="AH12" i="1" s="1"/>
  <c r="AK6" i="1"/>
  <c r="AH6" i="1" s="1"/>
  <c r="AH16" i="1"/>
  <c r="AK3" i="1"/>
  <c r="AH3" i="1" s="1"/>
  <c r="AK13" i="1"/>
  <c r="AH13" i="1" s="1"/>
  <c r="AK7" i="1"/>
  <c r="AH7" i="1" s="1"/>
  <c r="AH14" i="1"/>
  <c r="I363" i="1"/>
  <c r="O363" i="1"/>
  <c r="K363" i="1"/>
  <c r="L363" i="1"/>
  <c r="AE106" i="1"/>
  <c r="N179" i="1"/>
  <c r="AK199" i="1"/>
  <c r="S363" i="1"/>
  <c r="T363" i="1"/>
  <c r="I177" i="1"/>
  <c r="AE105" i="1"/>
  <c r="Q363" i="1"/>
  <c r="AE115" i="1"/>
  <c r="AE131" i="1"/>
  <c r="AE136" i="1"/>
  <c r="AE141" i="1"/>
  <c r="AE113" i="1"/>
  <c r="AE111" i="1"/>
  <c r="AE121" i="1"/>
  <c r="AE122" i="1"/>
  <c r="AE127" i="1"/>
  <c r="AE137" i="1"/>
  <c r="AE139" i="1"/>
  <c r="J178" i="1"/>
  <c r="AE19" i="1"/>
  <c r="AE135" i="1"/>
  <c r="AE128" i="1"/>
  <c r="AE133" i="1"/>
  <c r="AE100" i="1"/>
  <c r="L27" i="1"/>
  <c r="AE25" i="1"/>
  <c r="AE92" i="1"/>
  <c r="AE71" i="1"/>
  <c r="AE86" i="1"/>
  <c r="AE91" i="1"/>
  <c r="AE119" i="1"/>
  <c r="AE129" i="1"/>
  <c r="AE138" i="1"/>
  <c r="AE116" i="1"/>
  <c r="AE94" i="1"/>
  <c r="F179" i="1"/>
  <c r="AE57" i="1"/>
  <c r="AE102" i="1"/>
  <c r="AE107" i="1"/>
  <c r="AE109" i="1"/>
  <c r="AE108" i="1"/>
  <c r="AE126" i="1"/>
  <c r="AE130" i="1"/>
  <c r="AE140" i="1"/>
  <c r="H8" i="6"/>
  <c r="G371" i="1"/>
  <c r="G6" i="1"/>
  <c r="K134" i="1"/>
  <c r="V124" i="1"/>
  <c r="AE124" i="1" s="1"/>
  <c r="V370" i="1"/>
  <c r="G366" i="1"/>
  <c r="AA357" i="1"/>
  <c r="F184" i="1"/>
  <c r="R372" i="1"/>
  <c r="G186" i="1"/>
  <c r="O179" i="1"/>
  <c r="H177" i="1"/>
  <c r="Y179" i="1"/>
  <c r="J200" i="1"/>
  <c r="J177" i="1"/>
  <c r="U372" i="1"/>
  <c r="P179" i="1"/>
  <c r="K179" i="1"/>
  <c r="X365" i="1"/>
  <c r="X372" i="1" s="1"/>
  <c r="F177" i="1"/>
  <c r="J179" i="1"/>
  <c r="AB357" i="1"/>
  <c r="Q179" i="1"/>
  <c r="S365" i="1"/>
  <c r="S372" i="1" s="1"/>
  <c r="AK196" i="1"/>
  <c r="T365" i="1"/>
  <c r="T372" i="1" s="1"/>
  <c r="M179" i="1"/>
  <c r="G179" i="1"/>
  <c r="E71" i="6" l="1"/>
  <c r="E73" i="6" s="1"/>
  <c r="H73" i="6"/>
  <c r="E147" i="6"/>
  <c r="AK191" i="1"/>
  <c r="AH191" i="1" s="1"/>
  <c r="AK9" i="1"/>
  <c r="AH9" i="1" s="1"/>
  <c r="AK197" i="1"/>
  <c r="V363" i="1"/>
  <c r="J363" i="1"/>
  <c r="G363" i="1"/>
  <c r="AE6" i="1"/>
  <c r="Y365" i="1"/>
  <c r="Y372" i="1" s="1"/>
  <c r="AK8" i="1"/>
  <c r="AH8" i="1" s="1"/>
  <c r="AE134" i="1"/>
  <c r="AK186" i="1"/>
  <c r="AH186" i="1" s="1"/>
  <c r="P365" i="1"/>
  <c r="P372" i="1" s="1"/>
  <c r="P373" i="1" s="1"/>
  <c r="G181" i="1"/>
  <c r="G180" i="1"/>
  <c r="F182" i="1"/>
  <c r="G182" i="1" s="1"/>
  <c r="L365" i="1"/>
  <c r="L372" i="1" s="1"/>
  <c r="L178" i="1"/>
  <c r="AE27" i="1"/>
  <c r="E146" i="6"/>
  <c r="E159" i="6" s="1"/>
  <c r="T4" i="6"/>
  <c r="F365" i="1"/>
  <c r="F372" i="1" s="1"/>
  <c r="Q365" i="1"/>
  <c r="Q372" i="1" s="1"/>
  <c r="AK194" i="1"/>
  <c r="AK192" i="1"/>
  <c r="AH192" i="1" s="1"/>
  <c r="V365" i="1"/>
  <c r="V372" i="1" s="1"/>
  <c r="AK190" i="1"/>
  <c r="AH190" i="1" s="1"/>
  <c r="AK193" i="1"/>
  <c r="AH193" i="1" s="1"/>
  <c r="N365" i="1"/>
  <c r="N372" i="1" s="1"/>
  <c r="AK187" i="1"/>
  <c r="AH187" i="1" s="1"/>
  <c r="I365" i="1"/>
  <c r="I372" i="1" s="1"/>
  <c r="G177" i="1"/>
  <c r="AK4" i="1"/>
  <c r="AH4" i="1" s="1"/>
  <c r="H365" i="1"/>
  <c r="H372" i="1" s="1"/>
  <c r="O365" i="1"/>
  <c r="O372" i="1" s="1"/>
  <c r="K365" i="1"/>
  <c r="K372" i="1" s="1"/>
  <c r="K373" i="1"/>
  <c r="AK189" i="1"/>
  <c r="AH189" i="1" s="1"/>
  <c r="M365" i="1"/>
  <c r="M372" i="1" s="1"/>
  <c r="E148" i="6" l="1"/>
  <c r="AH20" i="1"/>
  <c r="J365" i="1"/>
  <c r="J372" i="1" s="1"/>
  <c r="AK188" i="1"/>
  <c r="AH188" i="1" s="1"/>
  <c r="AM185" i="1"/>
  <c r="AH185" i="1" s="1"/>
  <c r="AK184" i="1"/>
  <c r="AH184" i="1" s="1"/>
  <c r="F363" i="1"/>
  <c r="G365" i="1"/>
  <c r="G372" i="1" s="1"/>
  <c r="AK185" i="1"/>
  <c r="G373" i="1"/>
  <c r="E357" i="1"/>
  <c r="E373" i="1" s="1"/>
  <c r="AK20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ylee</author>
    <author>JaeHyunKim</author>
  </authors>
  <commentList>
    <comment ref="D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Call letter
</t>
        </r>
      </text>
    </comment>
    <comment ref="D27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JaeHyunKim:</t>
        </r>
        <r>
          <rPr>
            <sz val="9"/>
            <color indexed="81"/>
            <rFont val="Tahoma"/>
            <family val="2"/>
          </rPr>
          <t xml:space="preserve">
#1 Call 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KRW Base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발생하였음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FX 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적용환율이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아닌
</t>
        </r>
        <r>
          <rPr>
            <sz val="9"/>
            <color indexed="81"/>
            <rFont val="Tahoma"/>
            <family val="2"/>
          </rPr>
          <t xml:space="preserve">ESR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Terra 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Feeder REF 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외화금액</t>
        </r>
        <r>
          <rPr>
            <sz val="9"/>
            <color indexed="81"/>
            <rFont val="Tahoma"/>
            <family val="2"/>
          </rPr>
          <t xml:space="preserve"> USD 13,201,648 </t>
        </r>
        <r>
          <rPr>
            <sz val="9"/>
            <color indexed="81"/>
            <rFont val="돋움"/>
            <family val="3"/>
            <charset val="129"/>
          </rPr>
          <t>과</t>
        </r>
        <r>
          <rPr>
            <sz val="9"/>
            <color indexed="81"/>
            <rFont val="Tahoma"/>
            <family val="2"/>
          </rPr>
          <t xml:space="preserve"> SG Call letter </t>
        </r>
        <r>
          <rPr>
            <sz val="9"/>
            <color indexed="81"/>
            <rFont val="돋움"/>
            <family val="3"/>
            <charset val="129"/>
          </rPr>
          <t>원화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약</t>
        </r>
        <r>
          <rPr>
            <sz val="9"/>
            <color indexed="81"/>
            <rFont val="Tahoma"/>
            <family val="2"/>
          </rPr>
          <t xml:space="preserve"> 145</t>
        </r>
        <r>
          <rPr>
            <sz val="9"/>
            <color indexed="81"/>
            <rFont val="돋움"/>
            <family val="3"/>
            <charset val="129"/>
          </rPr>
          <t>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환율임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41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JaeHyunKim: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예정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ylee</author>
    <author>tc={989560C2-4317-4356-8DB1-B9D680F99C73}</author>
    <author>cbok</author>
    <author>Charlie Chulsoon Bok</author>
    <author>Hyechul Shin</author>
    <author>Seungjoon Lee</author>
    <author>skim</author>
    <author>Skim</author>
    <author>JaeHyunKim</author>
    <author>JaehyunKim</author>
    <author>tc={B0B9FD27-0956-4C44-A776-0DE3E124FE5F}</author>
    <author>Sooju Ahn</author>
  </authors>
  <commentList>
    <comment ref="D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Call letter
</t>
        </r>
      </text>
    </comment>
    <comment ref="AI4" authorId="0" shapeId="0" xr:uid="{0E6B4C40-9D50-49C5-BF01-6BA1AD3D9E0E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upstream loan</t>
        </r>
      </text>
    </comment>
    <comment ref="AI6" authorId="0" shapeId="0" xr:uid="{DC63B734-AB08-4B70-AB81-2FEFCB05123E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upstream loan used
</t>
        </r>
      </text>
    </comment>
    <comment ref="AK6" authorId="0" shapeId="0" xr:uid="{F1F7DB8C-3909-45E0-B83D-8A49C0D918A2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Include upstream loan used</t>
        </r>
      </text>
    </comment>
    <comment ref="AI8" authorId="0" shapeId="0" xr:uid="{B35BBFBC-446E-4E54-AC74-32BEACB0F6CC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upstream loan used
</t>
        </r>
      </text>
    </comment>
    <comment ref="AK8" authorId="0" shapeId="0" xr:uid="{B2872142-9765-49FB-9883-45B0243EFC46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Include upstream loan used</t>
        </r>
      </text>
    </comment>
    <comment ref="AL8" authorId="0" shapeId="0" xr:uid="{41AAE81A-05D1-41B1-AC1D-1765F78082C5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Ilmok Star에서 조정되는 값
</t>
        </r>
      </text>
    </comment>
    <comment ref="AI9" authorId="0" shapeId="0" xr:uid="{9536B136-1B81-42BD-9D98-64357EF2C8B4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upstream loan used
</t>
        </r>
      </text>
    </comment>
    <comment ref="AK9" authorId="0" shapeId="0" xr:uid="{E7258E26-E240-4525-912A-DC10466184A9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Include upstream loan used</t>
        </r>
      </text>
    </comment>
    <comment ref="R69" authorId="0" shapeId="0" xr:uid="{4179C2CB-2DC6-4768-86EA-2DFCD01E9485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upfront fee
</t>
        </r>
      </text>
    </comment>
    <comment ref="S69" authorId="0" shapeId="0" xr:uid="{9AB60ECF-3335-488C-A094-05E4E547D7A0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upfront fee
</t>
        </r>
      </text>
    </comment>
    <comment ref="Y74" authorId="1" shapeId="0" xr:uid="{989560C2-4317-4356-8DB1-B9D680F99C7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Changwon (Ilmok Networks Pte 잔액 사용 후 차액)
추후 39 call에서 받음</t>
      </text>
    </comment>
    <comment ref="R83" authorId="0" shapeId="0" xr:uid="{3613B7AB-7F3C-4825-8911-6D1D15EA1C91}">
      <text>
        <r>
          <rPr>
            <b/>
            <sz val="9"/>
            <color indexed="81"/>
            <rFont val="Tahoma"/>
            <family val="2"/>
          </rPr>
          <t xml:space="preserve">y
Use </t>
        </r>
        <r>
          <rPr>
            <sz val="9"/>
            <color indexed="81"/>
            <rFont val="Tahoma"/>
            <family val="2"/>
          </rPr>
          <t xml:space="preserve">Sangdong 5 upstream loan USD 1mil </t>
        </r>
      </text>
    </comment>
    <comment ref="P84" authorId="0" shapeId="0" xr:uid="{1D4D2440-ED26-4B86-A1BA-46DB275AEA0D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Call under Bucheon cold  1-3 But originally for
 Ilmokstar</t>
        </r>
      </text>
    </comment>
    <comment ref="J85" authorId="0" shapeId="0" xr:uid="{3F4ACF22-9DA4-4800-8BCC-F55D0B5CB755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Call under Bucheon cold  1-3 But originally for
 Ilmokstar</t>
        </r>
      </text>
    </comment>
    <comment ref="P86" authorId="0" shapeId="0" xr:uid="{85E2575C-2C04-4AAD-A12B-3B4DE3165918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Call under Bucheon cold  1-3 But originally for
 Ilmokstar</t>
        </r>
      </text>
    </comment>
    <comment ref="J87" authorId="0" shapeId="0" xr:uid="{A7BF3EFD-63E3-44AD-A59E-1D1FCF795612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Call under Bucheon cold  1-3 But originally for
 Ilmokstar</t>
        </r>
      </text>
    </comment>
    <comment ref="T89" authorId="0" shapeId="0" xr:uid="{26D388D9-C9A0-4472-9CAB-D0E5993FB4EB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upfront fee
</t>
        </r>
      </text>
    </comment>
    <comment ref="U89" authorId="0" shapeId="0" xr:uid="{E1D3EDF1-B295-4BB0-A562-0DD589F9A2C1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upfront fee
</t>
        </r>
      </text>
    </comment>
    <comment ref="Y97" authorId="0" shapeId="0" xr:uid="{695AFB0B-1829-48F1-9FDD-FC846935E46F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Gimhae 3 , Geomdan </t>
        </r>
      </text>
    </comment>
    <comment ref="D98" authorId="0" shapeId="0" xr:uid="{73203736-82C0-41BB-945B-9089BD3C27B0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48</t>
        </r>
        <r>
          <rPr>
            <sz val="9"/>
            <color indexed="81"/>
            <rFont val="돋움"/>
            <family val="3"/>
            <charset val="129"/>
          </rPr>
          <t>번콜이랑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가정</t>
        </r>
      </text>
    </comment>
    <comment ref="D99" authorId="0" shapeId="0" xr:uid="{668DD9B1-B3C7-4B63-94B6-C182BA64BB52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Feb20 end rate </t>
        </r>
        <r>
          <rPr>
            <sz val="9"/>
            <color indexed="81"/>
            <rFont val="돋움"/>
            <family val="3"/>
            <charset val="129"/>
          </rPr>
          <t xml:space="preserve">참고
</t>
        </r>
      </text>
    </comment>
    <comment ref="P102" authorId="2" shapeId="0" xr:uid="{6821CF02-0F9D-4101-833F-D27D16409F08}">
      <text>
        <r>
          <rPr>
            <b/>
            <sz val="9"/>
            <color indexed="81"/>
            <rFont val="Tahoma"/>
            <family val="2"/>
          </rPr>
          <t>cbok:</t>
        </r>
        <r>
          <rPr>
            <sz val="9"/>
            <color indexed="81"/>
            <rFont val="Tahoma"/>
            <family val="2"/>
          </rPr>
          <t xml:space="preserve">
Call under B-cold, but originally for Ilmok Star
</t>
        </r>
      </text>
    </comment>
    <comment ref="J103" authorId="2" shapeId="0" xr:uid="{37354DF1-B31B-4CF3-9C21-6A9A3F3EA06C}">
      <text>
        <r>
          <rPr>
            <b/>
            <sz val="9"/>
            <color indexed="81"/>
            <rFont val="Tahoma"/>
            <family val="2"/>
          </rPr>
          <t>cbok:</t>
        </r>
        <r>
          <rPr>
            <sz val="9"/>
            <color indexed="81"/>
            <rFont val="Tahoma"/>
            <family val="2"/>
          </rPr>
          <t xml:space="preserve">
Call under B-cold, but originally for Ilmok Star
</t>
        </r>
      </text>
    </comment>
    <comment ref="J108" authorId="2" shapeId="0" xr:uid="{A3FC6AED-67AB-40BF-A551-CCEE42E2324B}">
      <text>
        <r>
          <rPr>
            <b/>
            <sz val="9"/>
            <color indexed="81"/>
            <rFont val="Tahoma"/>
            <family val="2"/>
          </rPr>
          <t>cbok:</t>
        </r>
        <r>
          <rPr>
            <sz val="9"/>
            <color indexed="81"/>
            <rFont val="Tahoma"/>
            <family val="2"/>
          </rPr>
          <t xml:space="preserve">
Originally call for Ilmok Star Q2 20 AM fee</t>
        </r>
      </text>
    </comment>
    <comment ref="P108" authorId="2" shapeId="0" xr:uid="{FEB6856B-1434-48E9-9888-92B0DB72CA5A}">
      <text>
        <r>
          <rPr>
            <b/>
            <sz val="9"/>
            <color indexed="81"/>
            <rFont val="Tahoma"/>
            <family val="2"/>
          </rPr>
          <t>cbok:</t>
        </r>
        <r>
          <rPr>
            <sz val="9"/>
            <color indexed="81"/>
            <rFont val="Tahoma"/>
            <family val="2"/>
          </rPr>
          <t xml:space="preserve">
Call under B-cold, but originally call for Ilmok Star</t>
        </r>
      </text>
    </comment>
    <comment ref="J112" authorId="2" shapeId="0" xr:uid="{C14D7C82-B39F-4078-B6A6-F73D9F6ECF5F}">
      <text>
        <r>
          <rPr>
            <b/>
            <sz val="9"/>
            <color indexed="81"/>
            <rFont val="Tahoma"/>
            <family val="2"/>
          </rPr>
          <t>cbok:</t>
        </r>
        <r>
          <rPr>
            <sz val="9"/>
            <color indexed="81"/>
            <rFont val="Tahoma"/>
            <family val="2"/>
          </rPr>
          <t xml:space="preserve">
Originally call for Ilmok Star</t>
        </r>
      </text>
    </comment>
    <comment ref="J117" authorId="2" shapeId="0" xr:uid="{1E851FBD-AA59-43F2-B9A3-20B2C525CE96}">
      <text>
        <r>
          <rPr>
            <b/>
            <sz val="9"/>
            <color indexed="81"/>
            <rFont val="Tahoma"/>
            <family val="2"/>
          </rPr>
          <t>cbok:</t>
        </r>
        <r>
          <rPr>
            <sz val="9"/>
            <color indexed="81"/>
            <rFont val="Tahoma"/>
            <family val="2"/>
          </rPr>
          <t xml:space="preserve">
Q4 20 Offshore fee Adjustment for Ilmok Star </t>
        </r>
      </text>
    </comment>
    <comment ref="V127" authorId="3" shapeId="0" xr:uid="{2533443F-EA2B-473B-AB12-E78FCD58BEA4}">
      <text>
        <r>
          <rPr>
            <b/>
            <sz val="9"/>
            <color indexed="81"/>
            <rFont val="Tahoma"/>
            <family val="2"/>
          </rPr>
          <t>Charlie Chulsoon Bok:</t>
        </r>
        <r>
          <rPr>
            <sz val="9"/>
            <color indexed="81"/>
            <rFont val="Tahoma"/>
            <family val="2"/>
          </rPr>
          <t xml:space="preserve">
FY21 Q2 Offshore fee call 400,453 </t>
        </r>
        <r>
          <rPr>
            <sz val="9"/>
            <color indexed="81"/>
            <rFont val="돋움"/>
            <family val="3"/>
            <charset val="129"/>
          </rPr>
          <t>중복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콜됨</t>
        </r>
        <r>
          <rPr>
            <sz val="9"/>
            <color indexed="81"/>
            <rFont val="Tahoma"/>
            <family val="2"/>
          </rPr>
          <t xml:space="preserve">. Q4 Offshore fee 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</text>
    </comment>
    <comment ref="K128" authorId="2" shapeId="0" xr:uid="{2EF36CC0-67C5-48B4-A0D2-2A53F6B111C6}">
      <text>
        <r>
          <rPr>
            <b/>
            <sz val="9"/>
            <color indexed="81"/>
            <rFont val="Tahoma"/>
            <family val="2"/>
          </rPr>
          <t>cbok:</t>
        </r>
        <r>
          <rPr>
            <sz val="9"/>
            <color indexed="81"/>
            <rFont val="Tahoma"/>
            <family val="2"/>
          </rPr>
          <t xml:space="preserve">
Q4 20 Offshore fee Adjustment for Ilmok Star </t>
        </r>
      </text>
    </comment>
    <comment ref="X129" authorId="4" shapeId="0" xr:uid="{53066BF2-BBBF-4828-8429-6B335AD09E4C}">
      <text>
        <r>
          <rPr>
            <b/>
            <sz val="9"/>
            <color indexed="81"/>
            <rFont val="Tahoma"/>
            <family val="2"/>
          </rPr>
          <t>Hyechul Shin:</t>
        </r>
        <r>
          <rPr>
            <sz val="9"/>
            <color indexed="81"/>
            <rFont val="Tahoma"/>
            <family val="2"/>
          </rPr>
          <t xml:space="preserve">
Cash hold by Sunwood Star</t>
        </r>
      </text>
    </comment>
    <comment ref="K134" authorId="3" shapeId="0" xr:uid="{434DA428-A972-446A-8F45-6667C7DF6C81}">
      <text>
        <r>
          <rPr>
            <b/>
            <sz val="9"/>
            <color indexed="81"/>
            <rFont val="Tahoma"/>
            <family val="2"/>
          </rPr>
          <t>Charlie Chulsoon Bok:</t>
        </r>
        <r>
          <rPr>
            <sz val="9"/>
            <color indexed="81"/>
            <rFont val="Tahoma"/>
            <family val="2"/>
          </rPr>
          <t xml:space="preserve">
Q432 Offshore fee for Ilmok Star</t>
        </r>
      </text>
    </comment>
    <comment ref="K139" authorId="3" shapeId="0" xr:uid="{1C4D7D04-7263-40B7-9DA7-5C19F64CEA60}">
      <text>
        <r>
          <rPr>
            <b/>
            <sz val="9"/>
            <color indexed="81"/>
            <rFont val="Tahoma"/>
            <family val="2"/>
          </rPr>
          <t>Charlie Chulsoon Bok:</t>
        </r>
        <r>
          <rPr>
            <sz val="9"/>
            <color indexed="81"/>
            <rFont val="Tahoma"/>
            <family val="2"/>
          </rPr>
          <t xml:space="preserve">
FY22 Q1 Imok Star Portion</t>
        </r>
      </text>
    </comment>
    <comment ref="P139" authorId="3" shapeId="0" xr:uid="{DEB42E67-6C39-41A2-8562-9E1E71E8BFC8}">
      <text>
        <r>
          <rPr>
            <b/>
            <sz val="9"/>
            <color indexed="81"/>
            <rFont val="Tahoma"/>
            <family val="2"/>
          </rPr>
          <t>Charlie Chulsoon Bok:</t>
        </r>
        <r>
          <rPr>
            <sz val="9"/>
            <color indexed="81"/>
            <rFont val="Tahoma"/>
            <family val="2"/>
          </rPr>
          <t xml:space="preserve">
FY22 Q1 Offshore fee</t>
        </r>
      </text>
    </comment>
    <comment ref="N144" authorId="3" shapeId="0" xr:uid="{DFC0EE37-CAEE-4469-9FDC-5631F4AD1008}">
      <text>
        <r>
          <rPr>
            <b/>
            <sz val="9"/>
            <color indexed="81"/>
            <rFont val="Tahoma"/>
            <family val="2"/>
          </rPr>
          <t>Charlie Chulsoon Bok:</t>
        </r>
        <r>
          <rPr>
            <sz val="9"/>
            <color indexed="81"/>
            <rFont val="Tahoma"/>
            <family val="2"/>
          </rPr>
          <t xml:space="preserve">
Q2 22 Ilmok Star portion </t>
        </r>
      </text>
    </comment>
    <comment ref="U152" authorId="5" shapeId="0" xr:uid="{F69CFDB0-EBC3-4E59-AACD-1B5BE36AF1D9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Civil Work 2,699,000,000
CM 29,000,000
on-shore admin 11,000,000
on-shore AM Fee 46,000,000
on-shore DM Fee 215,000,000</t>
        </r>
      </text>
    </comment>
    <comment ref="U154" authorId="5" shapeId="0" xr:uid="{2ACBCEFC-27C2-4113-BCF6-7EC77D1B5DC6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acq fee 15,302,511
am fee 278,129,664
dm fee 254,466,257</t>
        </r>
      </text>
    </comment>
    <comment ref="U156" authorId="5" shapeId="0" xr:uid="{3F4F6FD8-E8B7-41E6-8483-352A2EE2823F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Civil Work 571,000,000
Construction Management 29,000,000
</t>
        </r>
      </text>
    </comment>
    <comment ref="U157" authorId="5" shapeId="0" xr:uid="{98CA7D66-6107-41A0-844E-03C8E6FA15C3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Civil Work 1,558,000,000
CM 29,000,000
REF General / Admin Cost 13,000,000</t>
        </r>
      </text>
    </comment>
    <comment ref="O158" authorId="5" shapeId="0" xr:uid="{61431081-7021-49C3-BD1A-E161A1C0F452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Nominee Director fee &amp; Company Secretary Fee</t>
        </r>
      </text>
    </comment>
    <comment ref="U158" authorId="5" shapeId="0" xr:uid="{D35CED85-958C-4E91-BA0F-CC9A34B3C44F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Nominee Director fee &amp; Company Secretary Fee</t>
        </r>
      </text>
    </comment>
    <comment ref="V158" authorId="5" shapeId="0" xr:uid="{E0B34C01-7F9F-4B17-B1A9-6A469E76D9EB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Nominee Director fee &amp; Company Secretary Fee</t>
        </r>
      </text>
    </comment>
    <comment ref="O159" authorId="5" shapeId="0" xr:uid="{E637474B-0628-460A-A70E-7F92BFF00E14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AM Fee 301,051
DM Fee 617,135
Land Acq Fee 4,251</t>
        </r>
      </text>
    </comment>
    <comment ref="U159" authorId="5" shapeId="0" xr:uid="{CF01BE25-F17B-4B8C-81BD-21EE44AE7AB1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AM Fee 277,909,535
DM Fee 50,261,055
Acq Fee 22,865,057
</t>
        </r>
      </text>
    </comment>
    <comment ref="V159" authorId="5" shapeId="0" xr:uid="{12349BAB-A703-43E5-BA74-4414BC546801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AM Fee 169,521
DM Fee 86,593</t>
        </r>
      </text>
    </comment>
    <comment ref="X159" authorId="5" shapeId="0" xr:uid="{E8280525-DB66-4B46-99CE-44264FB79C2F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AM Fee 83,376
DM Fee 59,556
Land Acq Fee 11,152</t>
        </r>
      </text>
    </comment>
    <comment ref="U160" authorId="5" shapeId="0" xr:uid="{E2EAF2D2-5F3F-468F-AB83-52CD470AD6C4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AM Fee 50,000,000
DM Fee 150,000,000</t>
        </r>
      </text>
    </comment>
    <comment ref="U161" authorId="5" shapeId="0" xr:uid="{DCA41772-A8C7-4D00-A673-34287DD8846E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Civil Work 1.85bn
CM 68mil
Architectural Design 582mil</t>
        </r>
      </text>
    </comment>
    <comment ref="U162" authorId="5" shapeId="0" xr:uid="{1F8AC933-C353-4787-B85A-37735E6D676F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Admin cost $738
AM Fee $224,332
DM Fee $187,412
Land Acq Fee $45,101</t>
        </r>
      </text>
    </comment>
    <comment ref="X163" authorId="5" shapeId="0" xr:uid="{D6719B1E-2DD3-4A5E-B9B7-56A99B054F57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AM Fee $86,271
DM Fee $74,931
Land Acq $1,116
</t>
        </r>
      </text>
    </comment>
    <comment ref="O164" authorId="5" shapeId="0" xr:uid="{5FD10E99-2ECB-4102-A603-89160DA51EC2}">
      <text>
        <r>
          <rPr>
            <b/>
            <sz val="9"/>
            <color indexed="81"/>
            <rFont val="Tahoma"/>
            <family val="2"/>
          </rPr>
          <t xml:space="preserve">Seungjoon Lee:
</t>
        </r>
        <r>
          <rPr>
            <sz val="9"/>
            <color indexed="81"/>
            <rFont val="Tahoma"/>
            <family val="2"/>
          </rPr>
          <t>Admin Cost $691
AM Fee $336,021
Land Acq $12,601</t>
        </r>
      </text>
    </comment>
    <comment ref="V165" authorId="5" shapeId="0" xr:uid="{A4A9E46B-1D51-451F-BE74-CD719BE38602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Admin cost $738
AM Fee $172,321
DM Fee $110,662</t>
        </r>
      </text>
    </comment>
    <comment ref="O169" authorId="5" shapeId="0" xr:uid="{724AE621-5366-4126-8016-35A0A73CE34D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Land Cost 11,181,056,048
Acq Tax 3,304,337,210
Judicial Agent Cost 80,281,804
REF General Costs 144,361,944
Admin Costs 319,666,667
On-shore AM Fee 608,954,774
Offshore AM Fee $554,863 (753,503,954)
Offshore Acq Fee $30,159 (40,955,922)
</t>
        </r>
      </text>
    </comment>
    <comment ref="AL185" authorId="0" shapeId="0" xr:uid="{89BDD9A2-4602-4DA1-AB6D-71916A5C726C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upstream loan</t>
        </r>
      </text>
    </comment>
    <comment ref="F187" authorId="6" shapeId="0" xr:uid="{00000000-0006-0000-0000-000002000000}">
      <text>
        <r>
          <rPr>
            <b/>
            <sz val="9"/>
            <color indexed="81"/>
            <rFont val="Tahoma"/>
            <family val="2"/>
          </rPr>
          <t>skim: variance of call letter &amp; share allotment</t>
        </r>
        <r>
          <rPr>
            <sz val="9"/>
            <color indexed="81"/>
            <rFont val="Tahoma"/>
            <family val="2"/>
          </rPr>
          <t xml:space="preserve">
capital call #1 letter for APG/CPPIB total : $33,543,538
Share allotment amount : $32,870,070</t>
        </r>
      </text>
    </comment>
    <comment ref="AI187" authorId="0" shapeId="0" xr:uid="{1C51189B-6F1E-4402-B7FF-A830F45D48E3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upstream loan used
</t>
        </r>
      </text>
    </comment>
    <comment ref="AK187" authorId="0" shapeId="0" xr:uid="{6AC316F5-5DAA-446A-807B-67E84E0F4DEB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Include upstream loan used</t>
        </r>
      </text>
    </comment>
    <comment ref="H188" authorId="6" shapeId="0" xr:uid="{00000000-0006-0000-0000-000003000000}">
      <text>
        <r>
          <rPr>
            <b/>
            <sz val="9"/>
            <color indexed="81"/>
            <rFont val="Tahoma"/>
            <family val="2"/>
          </rPr>
          <t>skim:</t>
        </r>
        <r>
          <rPr>
            <sz val="9"/>
            <color indexed="81"/>
            <rFont val="Tahoma"/>
            <family val="2"/>
          </rPr>
          <t xml:space="preserve">
upfront fee 500,000 included</t>
        </r>
      </text>
    </comment>
    <comment ref="AI189" authorId="0" shapeId="0" xr:uid="{10A48E39-FDB3-4CD6-AD6D-E86F1AA9AAC0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upstream loan used
</t>
        </r>
      </text>
    </comment>
    <comment ref="AK189" authorId="0" shapeId="0" xr:uid="{B7686A38-9291-49D6-A2E1-D8AF300DB76A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Include upstream loan used</t>
        </r>
      </text>
    </comment>
    <comment ref="AI190" authorId="0" shapeId="0" xr:uid="{FE74E469-BD34-4F12-8C11-164931B85569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upstream loan used
</t>
        </r>
      </text>
    </comment>
    <comment ref="AK190" authorId="0" shapeId="0" xr:uid="{C91E7189-BBE8-4AFD-81A6-ECD8927DD284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Include upstream loan used</t>
        </r>
      </text>
    </comment>
    <comment ref="P192" authorId="7" shapeId="0" xr:uid="{EFECE7C1-B948-4FB7-A945-EBEF9899C2D8}">
      <text>
        <r>
          <rPr>
            <b/>
            <sz val="9"/>
            <color indexed="81"/>
            <rFont val="Tahoma"/>
            <family val="2"/>
          </rPr>
          <t>Skim:</t>
        </r>
        <r>
          <rPr>
            <sz val="9"/>
            <color indexed="81"/>
            <rFont val="Tahoma"/>
            <family val="2"/>
          </rPr>
          <t xml:space="preserve">
temporarily utilized for signing. Repaid up to Sunwood Star for Goyang capital call in Apr17</t>
        </r>
      </text>
    </comment>
    <comment ref="P193" authorId="7" shapeId="0" xr:uid="{B462FC56-F3E5-43E2-BC6F-B62D050976D1}">
      <text>
        <r>
          <rPr>
            <b/>
            <sz val="9"/>
            <color indexed="81"/>
            <rFont val="Tahoma"/>
            <family val="2"/>
          </rPr>
          <t>Skim:</t>
        </r>
        <r>
          <rPr>
            <sz val="9"/>
            <color indexed="81"/>
            <rFont val="Tahoma"/>
            <family val="2"/>
          </rPr>
          <t xml:space="preserve">
temporarily utilized for signing. Repaid up to Sunwood Star for Goyang capital call in Apr17</t>
        </r>
      </text>
    </comment>
    <comment ref="Y19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3억 + transaction cost</t>
        </r>
      </text>
    </comment>
    <comment ref="Y20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3억 + transaction cost</t>
        </r>
      </text>
    </comment>
    <comment ref="H202" authorId="6" shapeId="0" xr:uid="{00000000-0006-0000-0000-000007000000}">
      <text>
        <r>
          <rPr>
            <b/>
            <sz val="9"/>
            <color indexed="81"/>
            <rFont val="Tahoma"/>
            <family val="2"/>
          </rPr>
          <t>skim:</t>
        </r>
        <r>
          <rPr>
            <sz val="9"/>
            <color indexed="81"/>
            <rFont val="Tahoma"/>
            <family val="2"/>
          </rPr>
          <t xml:space="preserve">
call letter : 9,150,277</t>
        </r>
      </text>
    </comment>
    <comment ref="H206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used for Majang proj.</t>
        </r>
      </text>
    </comment>
    <comment ref="L208" authorId="8" shapeId="0" xr:uid="{00000000-0006-0000-0000-000009000000}">
      <text>
        <r>
          <rPr>
            <b/>
            <sz val="9"/>
            <color indexed="81"/>
            <rFont val="Tahoma"/>
            <family val="2"/>
          </rPr>
          <t>JaeHyunKim:</t>
        </r>
        <r>
          <rPr>
            <sz val="9"/>
            <color indexed="81"/>
            <rFont val="Tahoma"/>
            <family val="2"/>
          </rPr>
          <t xml:space="preserve">
To Majang 
9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270,000
11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18,884,039</t>
        </r>
      </text>
    </comment>
    <comment ref="Y208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Majang</t>
        </r>
      </text>
    </comment>
    <comment ref="H210" authorId="6" shapeId="0" xr:uid="{00000000-0006-0000-0000-00000B000000}">
      <text>
        <r>
          <rPr>
            <b/>
            <sz val="9"/>
            <color indexed="81"/>
            <rFont val="Tahoma"/>
            <family val="2"/>
          </rPr>
          <t>skim:</t>
        </r>
        <r>
          <rPr>
            <sz val="9"/>
            <color indexed="81"/>
            <rFont val="Tahoma"/>
            <family val="2"/>
          </rPr>
          <t xml:space="preserve">
excluded/adjusted from the call letter (utilized existing fund for Goyang called in #15) - call calculation </t>
        </r>
        <r>
          <rPr>
            <sz val="9"/>
            <color indexed="81"/>
            <rFont val="돋움"/>
            <family val="3"/>
            <charset val="129"/>
          </rPr>
          <t>파일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참조</t>
        </r>
      </text>
    </comment>
    <comment ref="Y21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Sanha
</t>
        </r>
      </text>
    </comment>
    <comment ref="Y214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Gimpo
</t>
        </r>
      </text>
    </comment>
    <comment ref="AA216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USD 3,465,257</t>
        </r>
      </text>
    </comment>
    <comment ref="Y218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Opo
</t>
        </r>
      </text>
    </comment>
    <comment ref="O238" authorId="8" shapeId="0" xr:uid="{00000000-0006-0000-0000-000010000000}">
      <text>
        <r>
          <rPr>
            <b/>
            <sz val="9"/>
            <color indexed="81"/>
            <rFont val="Tahoma"/>
            <family val="2"/>
          </rPr>
          <t>JaeHyunKim:</t>
        </r>
        <r>
          <rPr>
            <sz val="9"/>
            <color indexed="81"/>
            <rFont val="Tahoma"/>
            <family val="2"/>
          </rPr>
          <t xml:space="preserve">
ESR call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USD 1.1 mm 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SG 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보유하고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현금으로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사용함</t>
        </r>
        <r>
          <rPr>
            <sz val="9"/>
            <color indexed="81"/>
            <rFont val="Tahoma"/>
            <family val="2"/>
          </rPr>
          <t xml:space="preserve">. (Moonwood, TN, JH 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적게</t>
        </r>
        <r>
          <rPr>
            <sz val="9"/>
            <color indexed="81"/>
            <rFont val="Tahoma"/>
            <family val="2"/>
          </rPr>
          <t xml:space="preserve"> Call ) 
SG </t>
        </r>
        <r>
          <rPr>
            <sz val="9"/>
            <color indexed="81"/>
            <rFont val="돋움"/>
            <family val="3"/>
            <charset val="129"/>
          </rPr>
          <t>잔액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원천
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가창</t>
        </r>
        <r>
          <rPr>
            <sz val="9"/>
            <color indexed="81"/>
            <rFont val="Tahoma"/>
            <family val="2"/>
          </rPr>
          <t xml:space="preserve"> Share </t>
        </r>
        <r>
          <rPr>
            <sz val="9"/>
            <color indexed="81"/>
            <rFont val="돋움"/>
            <family val="3"/>
            <charset val="129"/>
          </rPr>
          <t>매각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0.36mm
17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NHN, DSL call 0.5mm core#3
18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JV closing </t>
        </r>
        <r>
          <rPr>
            <sz val="9"/>
            <color indexed="81"/>
            <rFont val="돋움"/>
            <family val="3"/>
            <charset val="129"/>
          </rPr>
          <t>이후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남은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0.8mm</t>
        </r>
      </text>
    </comment>
    <comment ref="Y248" authorId="9" shapeId="0" xr:uid="{00000000-0006-0000-0000-000011000000}">
      <text>
        <r>
          <rPr>
            <b/>
            <sz val="9"/>
            <color indexed="81"/>
            <rFont val="Tahoma"/>
            <family val="2"/>
          </rPr>
          <t>JaehyunKim:</t>
        </r>
        <r>
          <rPr>
            <sz val="9"/>
            <color indexed="81"/>
            <rFont val="Tahoma"/>
            <family val="2"/>
          </rPr>
          <t xml:space="preserve">
Namsa</t>
        </r>
      </text>
    </comment>
    <comment ref="Y249" authorId="9" shapeId="0" xr:uid="{00000000-0006-0000-0000-000012000000}">
      <text>
        <r>
          <rPr>
            <b/>
            <sz val="9"/>
            <color indexed="81"/>
            <rFont val="Tahoma"/>
            <family val="2"/>
          </rPr>
          <t>JaehyunKim:</t>
        </r>
        <r>
          <rPr>
            <sz val="9"/>
            <color indexed="81"/>
            <rFont val="Tahoma"/>
            <family val="2"/>
          </rPr>
          <t xml:space="preserve">
Iljuk
</t>
        </r>
      </text>
    </comment>
    <comment ref="Q250" authorId="9" shapeId="0" xr:uid="{00000000-0006-0000-0000-000013000000}">
      <text>
        <r>
          <rPr>
            <b/>
            <sz val="9"/>
            <color indexed="81"/>
            <rFont val="Tahoma"/>
            <family val="2"/>
          </rPr>
          <t>JaehyunKim:</t>
        </r>
        <r>
          <rPr>
            <sz val="9"/>
            <color indexed="81"/>
            <rFont val="Tahoma"/>
            <family val="2"/>
          </rPr>
          <t xml:space="preserve">
Sunwood star </t>
        </r>
        <r>
          <rPr>
            <sz val="9"/>
            <color indexed="81"/>
            <rFont val="돋움"/>
            <family val="3"/>
            <charset val="129"/>
          </rPr>
          <t>자금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
이후</t>
        </r>
        <r>
          <rPr>
            <sz val="9"/>
            <color indexed="81"/>
            <rFont val="Tahoma"/>
            <family val="2"/>
          </rPr>
          <t xml:space="preserve"> 34 Call 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Call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Star 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252" authorId="9" shapeId="0" xr:uid="{00000000-0006-0000-0000-000014000000}">
      <text>
        <r>
          <rPr>
            <b/>
            <sz val="9"/>
            <color indexed="81"/>
            <rFont val="Tahoma"/>
            <family val="2"/>
          </rPr>
          <t>JaehyunKim: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상동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배당금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사용
</t>
        </r>
        <r>
          <rPr>
            <sz val="9"/>
            <color indexed="81"/>
            <rFont val="Tahoma"/>
            <family val="2"/>
          </rPr>
          <t xml:space="preserve">KRW 652,231,325
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 
call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배당금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제외한</t>
        </r>
        <r>
          <rPr>
            <sz val="9"/>
            <color indexed="81"/>
            <rFont val="Tahoma"/>
            <family val="2"/>
          </rPr>
          <t xml:space="preserve"> KRW 347,768,675</t>
        </r>
      </text>
    </comment>
    <comment ref="R253" authorId="10" shapeId="0" xr:uid="{00000000-0006-0000-0000-000015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upfront fee</t>
      </text>
    </comment>
    <comment ref="Y258" authorId="9" shapeId="0" xr:uid="{82E4CF8A-F8D1-4E61-9D4B-AC8587070C28}">
      <text>
        <r>
          <rPr>
            <b/>
            <sz val="9"/>
            <color indexed="81"/>
            <rFont val="Tahoma"/>
            <family val="2"/>
          </rPr>
          <t xml:space="preserve">JaehyunKim:
Changwon (Ilmok Networks Pte </t>
        </r>
        <r>
          <rPr>
            <b/>
            <sz val="9"/>
            <color indexed="81"/>
            <rFont val="돋움"/>
            <family val="3"/>
            <charset val="129"/>
          </rPr>
          <t>잔액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차액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추후</t>
        </r>
        <r>
          <rPr>
            <b/>
            <sz val="9"/>
            <color indexed="81"/>
            <rFont val="Tahoma"/>
            <family val="2"/>
          </rPr>
          <t xml:space="preserve"> 39 call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받음</t>
        </r>
      </text>
    </comment>
    <comment ref="R267" authorId="0" shapeId="0" xr:uid="{BDD50461-F233-4CA1-97AE-651F5667D243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Include Sangdong 5 upstream loan 1mil </t>
        </r>
      </text>
    </comment>
    <comment ref="P268" authorId="0" shapeId="0" xr:uid="{20E2EC26-92AA-4CB2-BA0B-1F0EF111E146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Call under Bucheon cold  1-3 But originally for
 Ilmokstar</t>
        </r>
      </text>
    </comment>
    <comment ref="J269" authorId="0" shapeId="0" xr:uid="{A3EC3A2A-4A10-489C-8CA2-5275DDA994FE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Call under Bucheon cold  1-3 But originally for
 Ilmokstar</t>
        </r>
      </text>
    </comment>
    <comment ref="P270" authorId="0" shapeId="0" xr:uid="{0859F245-03EB-4CF9-B4AC-0325C8527DA9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Call under Bucheon cold  1-3 But originally for
 Ilmokstar</t>
        </r>
      </text>
    </comment>
    <comment ref="J271" authorId="0" shapeId="0" xr:uid="{7CAB77A2-4FA4-4632-9F77-5C5A5E8D567A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Call under Bucheon cold  1-3 But originally for
 Ilmokstar</t>
        </r>
      </text>
    </comment>
    <comment ref="T273" authorId="0" shapeId="0" xr:uid="{AA60B344-55CF-489C-A51B-E175E82E0894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upfront fee KRW 230,000,000</t>
        </r>
      </text>
    </comment>
    <comment ref="U273" authorId="0" shapeId="0" xr:uid="{F534CEF2-6890-4D55-88F1-DBE63B674C26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upfront fee KRW 230,000,000</t>
        </r>
      </text>
    </comment>
    <comment ref="Y274" authorId="0" shapeId="0" xr:uid="{0091F817-E0EE-4B34-889D-DB4525ABCC4C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Sanha 2
</t>
        </r>
      </text>
    </comment>
    <comment ref="Y281" authorId="0" shapeId="0" xr:uid="{918DCFC8-2476-485E-AD9E-84F943F0EE86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Gimhae 3 , Geomdan </t>
        </r>
      </text>
    </comment>
    <comment ref="D282" authorId="0" shapeId="0" xr:uid="{3DA7FFFB-D691-4EDE-9657-339992AAB9C5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48</t>
        </r>
        <r>
          <rPr>
            <sz val="9"/>
            <color indexed="81"/>
            <rFont val="돋움"/>
            <family val="3"/>
            <charset val="129"/>
          </rPr>
          <t>번콜이랑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가정</t>
        </r>
      </text>
    </comment>
    <comment ref="D283" authorId="0" shapeId="0" xr:uid="{136ADACD-D28C-486C-94EA-99C2697A56E7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Feb20 end rate </t>
        </r>
        <r>
          <rPr>
            <sz val="9"/>
            <color indexed="81"/>
            <rFont val="돋움"/>
            <family val="3"/>
            <charset val="129"/>
          </rPr>
          <t xml:space="preserve">참고
</t>
        </r>
      </text>
    </comment>
    <comment ref="P286" authorId="0" shapeId="0" xr:uid="{C0224402-1154-4B32-BD4A-F406E57CDEA6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Call under Bucheon cold  1-3 But originally for
 Ilmokstar</t>
        </r>
      </text>
    </comment>
    <comment ref="J287" authorId="2" shapeId="0" xr:uid="{D155C7D6-02E5-4E09-8AB9-9F9625D7B4C5}">
      <text>
        <r>
          <rPr>
            <b/>
            <sz val="9"/>
            <color indexed="81"/>
            <rFont val="Tahoma"/>
            <family val="2"/>
          </rPr>
          <t>cbok:</t>
        </r>
        <r>
          <rPr>
            <sz val="9"/>
            <color indexed="81"/>
            <rFont val="Tahoma"/>
            <family val="2"/>
          </rPr>
          <t xml:space="preserve">
Call under B-cold, but originally for Ilmok star
</t>
        </r>
      </text>
    </comment>
    <comment ref="B289" authorId="2" shapeId="0" xr:uid="{3644EF59-0882-442B-8BD3-35B6E049675F}">
      <text>
        <r>
          <rPr>
            <b/>
            <sz val="9"/>
            <color indexed="81"/>
            <rFont val="Tahoma"/>
            <family val="2"/>
          </rPr>
          <t>cbok:</t>
        </r>
        <r>
          <rPr>
            <sz val="9"/>
            <color indexed="81"/>
            <rFont val="Tahoma"/>
            <family val="2"/>
          </rPr>
          <t xml:space="preserve">
Cash re-investment with dividend proceeds USD 2,500,000 out of 7,859,
732 </t>
        </r>
      </text>
    </comment>
    <comment ref="J292" authorId="2" shapeId="0" xr:uid="{AE1D4D35-AF02-4141-BE38-09A114C8B57C}">
      <text>
        <r>
          <rPr>
            <b/>
            <sz val="9"/>
            <color indexed="81"/>
            <rFont val="Tahoma"/>
            <family val="2"/>
          </rPr>
          <t>cbok:</t>
        </r>
        <r>
          <rPr>
            <sz val="9"/>
            <color indexed="81"/>
            <rFont val="Tahoma"/>
            <family val="2"/>
          </rPr>
          <t xml:space="preserve">
Originally call for Ilmok Star Q2 20 AM fee
</t>
        </r>
      </text>
    </comment>
    <comment ref="P292" authorId="0" shapeId="0" xr:uid="{D03FFD0A-11E4-4471-ABDC-73DDEB0E9E4B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Call under Bucheon cold   But originally for
 Ilmokstar</t>
        </r>
      </text>
    </comment>
    <comment ref="P295" authorId="0" shapeId="0" xr:uid="{3610F85E-6C83-4657-A91C-9301A4C81AFB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Call under Bucheon cold   But originally for
 Ilmokstar</t>
        </r>
      </text>
    </comment>
    <comment ref="J296" authorId="2" shapeId="0" xr:uid="{173C78F3-6BBE-4D21-BCC6-6F2A9D9C85CA}">
      <text>
        <r>
          <rPr>
            <b/>
            <sz val="9"/>
            <color indexed="81"/>
            <rFont val="Tahoma"/>
            <family val="2"/>
          </rPr>
          <t>cbok:</t>
        </r>
        <r>
          <rPr>
            <sz val="9"/>
            <color indexed="81"/>
            <rFont val="Tahoma"/>
            <family val="2"/>
          </rPr>
          <t xml:space="preserve">
Originally call for Ilmok Star Q3 20 AM fee
</t>
        </r>
      </text>
    </comment>
    <comment ref="Y297" authorId="2" shapeId="0" xr:uid="{3F5070FF-37F2-4B31-86BE-0178F8622DEF}">
      <text>
        <r>
          <rPr>
            <b/>
            <sz val="9"/>
            <color indexed="81"/>
            <rFont val="Tahoma"/>
            <family val="2"/>
          </rPr>
          <t>cbok:</t>
        </r>
        <r>
          <rPr>
            <sz val="9"/>
            <color indexed="81"/>
            <rFont val="Tahoma"/>
            <family val="2"/>
          </rPr>
          <t xml:space="preserve">
Iljuk 2 investment</t>
        </r>
      </text>
    </comment>
    <comment ref="X298" authorId="2" shapeId="0" xr:uid="{D58D2F66-4BA0-4BF7-99CB-05A0003C7461}">
      <text>
        <r>
          <rPr>
            <b/>
            <sz val="9"/>
            <color indexed="81"/>
            <rFont val="Tahoma"/>
            <family val="2"/>
          </rPr>
          <t>cbok:</t>
        </r>
        <r>
          <rPr>
            <sz val="9"/>
            <color indexed="81"/>
            <rFont val="Tahoma"/>
            <family val="2"/>
          </rPr>
          <t xml:space="preserve">
KRW 230,000,000</t>
        </r>
      </text>
    </comment>
    <comment ref="P300" authorId="2" shapeId="0" xr:uid="{5156A302-AE27-417C-9E08-08BF80724943}">
      <text>
        <r>
          <rPr>
            <b/>
            <sz val="9"/>
            <color indexed="81"/>
            <rFont val="Tahoma"/>
            <family val="2"/>
          </rPr>
          <t>cbok:</t>
        </r>
        <r>
          <rPr>
            <sz val="9"/>
            <color indexed="81"/>
            <rFont val="Tahoma"/>
            <family val="2"/>
          </rPr>
          <t xml:space="preserve">
Q3, Q4 FY19, Q4 20 Offshore fee Adjustment for Ilmok Star </t>
        </r>
      </text>
    </comment>
    <comment ref="J301" authorId="2" shapeId="0" xr:uid="{FECD9686-AC01-4414-899A-271626256765}">
      <text>
        <r>
          <rPr>
            <b/>
            <sz val="9"/>
            <color indexed="81"/>
            <rFont val="Tahoma"/>
            <family val="2"/>
          </rPr>
          <t>cbok:</t>
        </r>
        <r>
          <rPr>
            <sz val="9"/>
            <color indexed="81"/>
            <rFont val="Tahoma"/>
            <family val="2"/>
          </rPr>
          <t xml:space="preserve">
Q4 20 Offshore fee Adjustment for Ilmok Star </t>
        </r>
      </text>
    </comment>
    <comment ref="J306" authorId="2" shapeId="0" xr:uid="{D81808E6-52FE-4291-B04A-6E24BCDDBCAB}">
      <text>
        <r>
          <rPr>
            <b/>
            <sz val="9"/>
            <color indexed="81"/>
            <rFont val="Tahoma"/>
            <family val="2"/>
          </rPr>
          <t>cbok:</t>
        </r>
        <r>
          <rPr>
            <sz val="9"/>
            <color indexed="81"/>
            <rFont val="Tahoma"/>
            <family val="2"/>
          </rPr>
          <t xml:space="preserve">
Q1 21 Offshore fee Adjustment for Ilmok Star </t>
        </r>
      </text>
    </comment>
    <comment ref="P306" authorId="2" shapeId="0" xr:uid="{E23D02B3-A8B8-412A-A509-DFD042A05B99}">
      <text>
        <r>
          <rPr>
            <b/>
            <sz val="9"/>
            <color indexed="81"/>
            <rFont val="Tahoma"/>
            <family val="2"/>
          </rPr>
          <t>cbok:</t>
        </r>
        <r>
          <rPr>
            <sz val="9"/>
            <color indexed="81"/>
            <rFont val="Tahoma"/>
            <family val="2"/>
          </rPr>
          <t xml:space="preserve">
Q121 Offshore fee Adjustment for Ilmok Star </t>
        </r>
      </text>
    </comment>
    <comment ref="V311" authorId="3" shapeId="0" xr:uid="{D562BC02-C729-49DF-9484-66EFCF033482}">
      <text>
        <r>
          <rPr>
            <b/>
            <sz val="9"/>
            <color indexed="81"/>
            <rFont val="Tahoma"/>
            <family val="2"/>
          </rPr>
          <t>Charlie Chulsoon Bok:</t>
        </r>
        <r>
          <rPr>
            <sz val="9"/>
            <color indexed="81"/>
            <rFont val="Tahoma"/>
            <family val="2"/>
          </rPr>
          <t xml:space="preserve">
FY21 Q2 Offshore fee call 400,453 </t>
        </r>
        <r>
          <rPr>
            <sz val="9"/>
            <color indexed="81"/>
            <rFont val="돋움"/>
            <family val="3"/>
            <charset val="129"/>
          </rPr>
          <t>중복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콜됨</t>
        </r>
        <r>
          <rPr>
            <sz val="9"/>
            <color indexed="81"/>
            <rFont val="Tahoma"/>
            <family val="2"/>
          </rPr>
          <t xml:space="preserve">. Q4 Offshore fee 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</text>
    </comment>
    <comment ref="K312" authorId="2" shapeId="0" xr:uid="{EBBE9D42-110D-42FB-B1A7-49B4778744AA}">
      <text>
        <r>
          <rPr>
            <b/>
            <sz val="9"/>
            <color indexed="81"/>
            <rFont val="Tahoma"/>
            <family val="2"/>
          </rPr>
          <t>cbok:</t>
        </r>
        <r>
          <rPr>
            <sz val="9"/>
            <color indexed="81"/>
            <rFont val="Tahoma"/>
            <family val="2"/>
          </rPr>
          <t xml:space="preserve">
Q4 20 Offshore fee Adjustment for Ilmok Star </t>
        </r>
      </text>
    </comment>
    <comment ref="X313" authorId="4" shapeId="0" xr:uid="{744C498F-C283-451A-AD23-A5F20D0EC719}">
      <text>
        <r>
          <rPr>
            <b/>
            <sz val="9"/>
            <color indexed="81"/>
            <rFont val="Tahoma"/>
            <family val="2"/>
          </rPr>
          <t>Hyechul Shin:</t>
        </r>
        <r>
          <rPr>
            <sz val="9"/>
            <color indexed="81"/>
            <rFont val="Tahoma"/>
            <family val="2"/>
          </rPr>
          <t xml:space="preserve">
Cash hold by Sunwood Star</t>
        </r>
      </text>
    </comment>
    <comment ref="J315" authorId="3" shapeId="0" xr:uid="{7CDF413A-35B8-4A96-9AC1-6A2737CD1A3D}">
      <text>
        <r>
          <rPr>
            <b/>
            <sz val="9"/>
            <color indexed="81"/>
            <rFont val="Tahoma"/>
            <family val="2"/>
          </rPr>
          <t>Charlie Chulsoon Bok:</t>
        </r>
        <r>
          <rPr>
            <sz val="9"/>
            <color indexed="81"/>
            <rFont val="Tahoma"/>
            <family val="2"/>
          </rPr>
          <t xml:space="preserve">
Ilmok Star</t>
        </r>
      </text>
    </comment>
    <comment ref="K318" authorId="3" shapeId="0" xr:uid="{E0E3666B-DEC1-4212-88C2-49C4325C4B19}">
      <text>
        <r>
          <rPr>
            <b/>
            <sz val="9"/>
            <color indexed="81"/>
            <rFont val="Tahoma"/>
            <family val="2"/>
          </rPr>
          <t>Charlie Chulsoon Bok:</t>
        </r>
        <r>
          <rPr>
            <sz val="9"/>
            <color indexed="81"/>
            <rFont val="Tahoma"/>
            <family val="2"/>
          </rPr>
          <t xml:space="preserve">
Q432 Offshore fee for Ilmok Star</t>
        </r>
      </text>
    </comment>
    <comment ref="R322" authorId="4" shapeId="0" xr:uid="{AA47BFD0-01A2-42F0-ADD8-462407EE10E7}">
      <text>
        <r>
          <rPr>
            <b/>
            <sz val="9"/>
            <color indexed="81"/>
            <rFont val="Tahoma"/>
            <family val="2"/>
          </rPr>
          <t>Hyechul Shin:</t>
        </r>
        <r>
          <rPr>
            <sz val="9"/>
            <color indexed="81"/>
            <rFont val="Tahoma"/>
            <family val="2"/>
          </rPr>
          <t xml:space="preserve">
2022-06-09
</t>
        </r>
        <r>
          <rPr>
            <sz val="9"/>
            <color indexed="81"/>
            <rFont val="돋움"/>
            <family val="3"/>
            <charset val="129"/>
          </rPr>
          <t>남사</t>
        </r>
        <r>
          <rPr>
            <sz val="9"/>
            <color indexed="81"/>
            <rFont val="Tahoma"/>
            <family val="2"/>
          </rPr>
          <t xml:space="preserve"> Land Acq Fee </t>
        </r>
        <r>
          <rPr>
            <sz val="9"/>
            <color indexed="81"/>
            <rFont val="돋움"/>
            <family val="3"/>
            <charset val="129"/>
          </rPr>
          <t>차이금액</t>
        </r>
        <r>
          <rPr>
            <sz val="9"/>
            <color indexed="81"/>
            <rFont val="Tahoma"/>
            <family val="2"/>
          </rPr>
          <t xml:space="preserve"> -19,561 (2Q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AM</t>
        </r>
        <r>
          <rPr>
            <sz val="9"/>
            <color indexed="81"/>
            <rFont val="돋움"/>
            <family val="3"/>
            <charset val="129"/>
          </rPr>
          <t>청구시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조정필요</t>
        </r>
        <r>
          <rPr>
            <sz val="9"/>
            <color indexed="81"/>
            <rFont val="Tahoma"/>
            <family val="2"/>
          </rPr>
          <t>)</t>
        </r>
      </text>
    </comment>
    <comment ref="P323" authorId="3" shapeId="0" xr:uid="{417B25DC-B435-4AFF-AEFE-B5DF0724FB7E}">
      <text>
        <r>
          <rPr>
            <b/>
            <sz val="9"/>
            <color indexed="81"/>
            <rFont val="Tahoma"/>
            <family val="2"/>
          </rPr>
          <t>Charlie Chulsoon Bok:</t>
        </r>
        <r>
          <rPr>
            <sz val="9"/>
            <color indexed="81"/>
            <rFont val="Tahoma"/>
            <family val="2"/>
          </rPr>
          <t xml:space="preserve">
FY22 Q1 Offshore fee</t>
        </r>
      </text>
    </comment>
    <comment ref="N328" authorId="3" shapeId="0" xr:uid="{68CE8783-42FA-424C-ACBA-F2CBB69CE536}">
      <text>
        <r>
          <rPr>
            <b/>
            <sz val="9"/>
            <color indexed="81"/>
            <rFont val="Tahoma"/>
            <family val="2"/>
          </rPr>
          <t>Charlie Chulsoon Bok:</t>
        </r>
        <r>
          <rPr>
            <sz val="9"/>
            <color indexed="81"/>
            <rFont val="Tahoma"/>
            <family val="2"/>
          </rPr>
          <t xml:space="preserve">
Q2 22 Ilmok Star portion </t>
        </r>
      </text>
    </comment>
    <comment ref="P331" authorId="4" shapeId="0" xr:uid="{394FE9B8-2261-48EA-948D-9B755667650B}">
      <text>
        <r>
          <rPr>
            <b/>
            <sz val="9"/>
            <color indexed="81"/>
            <rFont val="Tahoma"/>
            <family val="2"/>
          </rPr>
          <t>Hyechul Shin:</t>
        </r>
        <r>
          <rPr>
            <sz val="9"/>
            <color indexed="81"/>
            <rFont val="Tahoma"/>
            <family val="2"/>
          </rPr>
          <t xml:space="preserve">
3Q22 </t>
        </r>
        <r>
          <rPr>
            <sz val="9"/>
            <color indexed="81"/>
            <rFont val="돋움"/>
            <family val="3"/>
            <charset val="129"/>
          </rPr>
          <t>일목스타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콜은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없음
</t>
        </r>
        <r>
          <rPr>
            <sz val="9"/>
            <color indexed="81"/>
            <rFont val="Tahoma"/>
            <family val="2"/>
          </rPr>
          <t>1,349</t>
        </r>
      </text>
    </comment>
    <comment ref="U341" authorId="5" shapeId="0" xr:uid="{A669E520-8220-4EDF-93EB-EEFF447EFAB6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Civil Work 1,558,000,000
CM 29,000,000
REF General / Admin Cost 13,000,000</t>
        </r>
      </text>
    </comment>
    <comment ref="O342" authorId="5" shapeId="0" xr:uid="{08548574-A7DD-4BE4-95A6-7FC3084AFE19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Nominee Director fee &amp; Company Secretary Fee</t>
        </r>
      </text>
    </comment>
    <comment ref="U342" authorId="5" shapeId="0" xr:uid="{732ACF7D-C62B-4F37-8CD7-A14FF3BCFE4A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Nominee Director fee &amp; Company Secretary Fee</t>
        </r>
      </text>
    </comment>
    <comment ref="V342" authorId="5" shapeId="0" xr:uid="{39BCAB97-5DC6-4596-A62D-CDB3E7665CAE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Nominee Director fee &amp; Company Secretary Fee</t>
        </r>
      </text>
    </comment>
    <comment ref="O343" authorId="5" shapeId="0" xr:uid="{00E944D2-D09A-475A-ABE3-2E7B90AADE6B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AM Fee 301,051
DM Fee 617,135
Land Acq Fee 4,251</t>
        </r>
      </text>
    </comment>
    <comment ref="U343" authorId="5" shapeId="0" xr:uid="{D0B2B974-BEBD-4748-ACFC-2D5D89F49718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AM Fee 250,983
DM Fee 153,281
Land Acq Fee 17,501</t>
        </r>
      </text>
    </comment>
    <comment ref="V343" authorId="5" shapeId="0" xr:uid="{DB1A7E99-5517-42C9-875F-0F2B45A9D215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AM Fee 169,521
DM Fee 86,593</t>
        </r>
      </text>
    </comment>
    <comment ref="X343" authorId="5" shapeId="0" xr:uid="{5A81B852-D164-414F-9183-1896E3B0EA4C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AM Fee 83,376
DM Fee 59,556
Land Acq Fee 11,152</t>
        </r>
      </text>
    </comment>
    <comment ref="U344" authorId="5" shapeId="0" xr:uid="{377B00D6-BED0-4142-B412-87CA53A2244D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AM Fee 50,000,000
DM Fee 150,000,000</t>
        </r>
      </text>
    </comment>
    <comment ref="U345" authorId="5" shapeId="0" xr:uid="{3F5FC79E-D2E7-4242-8C92-3CA527B5DDF9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Civil Work 1.85bn
CM 68mil
Architectural Design 582mil</t>
        </r>
      </text>
    </comment>
    <comment ref="U346" authorId="5" shapeId="0" xr:uid="{F4931C43-691B-4EFE-8321-2EEFAACCB760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Admin cost $738
AM Fee $224,332
DM Fee $187,412
Land Acq Fee $45,101</t>
        </r>
      </text>
    </comment>
    <comment ref="X347" authorId="5" shapeId="0" xr:uid="{B9DD7741-8237-4947-81A1-833E41597BDF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AM Fee $86,271
DM Fee $74,931
Land Acq $1,116
</t>
        </r>
      </text>
    </comment>
    <comment ref="O348" authorId="5" shapeId="0" xr:uid="{83D06523-7953-43F7-AD7E-D64B9249EB6D}">
      <text>
        <r>
          <rPr>
            <b/>
            <sz val="9"/>
            <color indexed="81"/>
            <rFont val="Tahoma"/>
            <family val="2"/>
          </rPr>
          <t xml:space="preserve">Seungjoon Lee:
</t>
        </r>
        <r>
          <rPr>
            <sz val="9"/>
            <color indexed="81"/>
            <rFont val="Tahoma"/>
            <family val="2"/>
          </rPr>
          <t>Admin Cost $691
AM Fee $336,021
Land Acq $12,601</t>
        </r>
      </text>
    </comment>
    <comment ref="V349" authorId="5" shapeId="0" xr:uid="{FAF17974-D5EF-451F-904D-D1655FF4FDA5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Admin cost $738
AM Fee $172,321
DM Fee $110,662</t>
        </r>
      </text>
    </comment>
    <comment ref="O353" authorId="5" shapeId="0" xr:uid="{A35F9061-42D5-4F5B-9EE0-32F4C8364AC5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Land Cost 11,181,056,048
Acq Tax 3,304,337,210
Judicial Agent Cost 80,281,804
REF General Costs 144,361,944
Admin Costs 319,666,667
On-shore AM Fee 608,954,774
Offshore AM Fee $554,863 (753,503,954)
Offshore Acq Fee $30,159 (40,955,922)
</t>
        </r>
      </text>
    </comment>
    <comment ref="C358" authorId="3" shapeId="0" xr:uid="{ACDC35B5-F1F6-4FD8-82A5-8F1AB1521814}">
      <text>
        <r>
          <rPr>
            <b/>
            <sz val="9"/>
            <color indexed="81"/>
            <rFont val="Tahoma"/>
            <family val="2"/>
          </rPr>
          <t>Charlie Chulsoon Bok:</t>
        </r>
        <r>
          <rPr>
            <sz val="9"/>
            <color indexed="81"/>
            <rFont val="Tahoma"/>
            <family val="2"/>
          </rPr>
          <t xml:space="preserve">
B-cold/Goyang: 7/2
Bucheon: 7/6
Gachang, Gimhae Sangdong: 7/8
</t>
        </r>
      </text>
    </comment>
    <comment ref="D364" authorId="2" shapeId="0" xr:uid="{F8947465-419E-468E-91CA-1B83082BE511}">
      <text>
        <r>
          <rPr>
            <b/>
            <sz val="9"/>
            <color indexed="81"/>
            <rFont val="Tahoma"/>
            <family val="2"/>
          </rPr>
          <t>cbok:</t>
        </r>
        <r>
          <rPr>
            <sz val="9"/>
            <color indexed="81"/>
            <rFont val="Tahoma"/>
            <family val="2"/>
          </rPr>
          <t xml:space="preserve">
Will be updated after Sep monthly closing</t>
        </r>
      </text>
    </comment>
    <comment ref="F365" authorId="6" shapeId="0" xr:uid="{00000000-0006-0000-0000-000017000000}">
      <text>
        <r>
          <rPr>
            <b/>
            <sz val="9"/>
            <color indexed="81"/>
            <rFont val="Tahoma"/>
            <family val="2"/>
          </rPr>
          <t>skim: variance of call letter &amp; share allotment</t>
        </r>
        <r>
          <rPr>
            <sz val="9"/>
            <color indexed="81"/>
            <rFont val="Tahoma"/>
            <family val="2"/>
          </rPr>
          <t xml:space="preserve">
capital call #1 letter for APG/CPPIB total : $33,543,538
Share allotment amount : $32,870,070
Diff :673,548 =  673,468 + 100 - 30(#1 diff)-10(capital injection)
</t>
        </r>
      </text>
    </comment>
    <comment ref="G365" authorId="6" shapeId="0" xr:uid="{00000000-0006-0000-0000-000018000000}">
      <text>
        <r>
          <rPr>
            <b/>
            <sz val="9"/>
            <color indexed="81"/>
            <rFont val="Tahoma"/>
            <family val="2"/>
          </rPr>
          <t>skim:</t>
        </r>
        <r>
          <rPr>
            <sz val="9"/>
            <color indexed="81"/>
            <rFont val="Tahoma"/>
            <family val="2"/>
          </rPr>
          <t xml:space="preserve">
upfront fee included in call #3
diff: 135,971+10</t>
        </r>
      </text>
    </comment>
    <comment ref="H365" authorId="6" shapeId="0" xr:uid="{00000000-0006-0000-0000-000019000000}">
      <text>
        <r>
          <rPr>
            <b/>
            <sz val="9"/>
            <color indexed="81"/>
            <rFont val="Tahoma"/>
            <family val="2"/>
          </rPr>
          <t>skim:</t>
        </r>
        <r>
          <rPr>
            <sz val="9"/>
            <color indexed="81"/>
            <rFont val="Tahoma"/>
            <family val="2"/>
          </rPr>
          <t xml:space="preserve">
upfront fee 500,000 
initial capital (-) 130
remaning on Star call #14 USD824,649 (</t>
        </r>
        <r>
          <rPr>
            <sz val="9"/>
            <color indexed="81"/>
            <rFont val="돋움"/>
            <family val="3"/>
            <charset val="129"/>
          </rPr>
          <t>마장으로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송금할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가능잔액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계산시</t>
        </r>
        <r>
          <rPr>
            <sz val="9"/>
            <color indexed="81"/>
            <rFont val="Tahoma"/>
            <family val="2"/>
          </rPr>
          <t xml:space="preserve"> 824,649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두번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고려됨</t>
        </r>
        <r>
          <rPr>
            <sz val="9"/>
            <color indexed="81"/>
            <rFont val="Tahoma"/>
            <family val="2"/>
          </rPr>
          <t xml:space="preserve">) - </t>
        </r>
        <r>
          <rPr>
            <b/>
            <u/>
            <sz val="9"/>
            <color indexed="81"/>
            <rFont val="Tahoma"/>
            <family val="2"/>
          </rPr>
          <t>Q418-Q120 fee call</t>
        </r>
        <r>
          <rPr>
            <b/>
            <u/>
            <sz val="9"/>
            <color indexed="81"/>
            <rFont val="돋움"/>
            <family val="3"/>
            <charset val="129"/>
          </rPr>
          <t>할때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감안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완료</t>
        </r>
        <r>
          <rPr>
            <sz val="9"/>
            <color indexed="81"/>
            <rFont val="Tahoma"/>
            <family val="2"/>
          </rPr>
          <t xml:space="preserve">
- #36 Q418 USD 438,061 </t>
        </r>
        <r>
          <rPr>
            <sz val="9"/>
            <color indexed="81"/>
            <rFont val="돋움"/>
            <family val="3"/>
            <charset val="129"/>
          </rPr>
          <t xml:space="preserve">사용
</t>
        </r>
        <r>
          <rPr>
            <sz val="9"/>
            <color indexed="81"/>
            <rFont val="Tahoma"/>
            <family val="2"/>
          </rPr>
          <t xml:space="preserve">- #46 Q319 USD 187,221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 
- #48 Q419 USD 186,617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 
- #    Q120 USD 12,750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전액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65" authorId="6" shapeId="0" xr:uid="{00000000-0006-0000-0000-00001A000000}">
      <text>
        <r>
          <rPr>
            <b/>
            <sz val="9"/>
            <color indexed="81"/>
            <rFont val="Tahoma"/>
            <family val="2"/>
          </rPr>
          <t>skim:</t>
        </r>
        <r>
          <rPr>
            <sz val="9"/>
            <color indexed="81"/>
            <rFont val="Tahoma"/>
            <family val="2"/>
          </rPr>
          <t xml:space="preserve">
upfront fee 444,444
initial capital (-) 120
=sum: 444,324</t>
        </r>
      </text>
    </comment>
    <comment ref="J365" authorId="8" shapeId="0" xr:uid="{00000000-0006-0000-0000-00001B000000}">
      <text>
        <r>
          <rPr>
            <b/>
            <sz val="9"/>
            <color indexed="81"/>
            <rFont val="Tahoma"/>
            <family val="2"/>
          </rPr>
          <t>JaeHyunKim:</t>
        </r>
        <r>
          <rPr>
            <sz val="9"/>
            <color indexed="81"/>
            <rFont val="Tahoma"/>
            <family val="2"/>
          </rPr>
          <t xml:space="preserve">
Upfront fee: 206,542
initial (-)130</t>
        </r>
      </text>
    </comment>
    <comment ref="K365" authorId="8" shapeId="0" xr:uid="{00000000-0006-0000-0000-00001C000000}">
      <text>
        <r>
          <rPr>
            <b/>
            <sz val="9"/>
            <color indexed="81"/>
            <rFont val="Tahoma"/>
            <family val="2"/>
          </rPr>
          <t>JaeHyunKim:</t>
        </r>
        <r>
          <rPr>
            <sz val="9"/>
            <color indexed="81"/>
            <rFont val="Tahoma"/>
            <family val="2"/>
          </rPr>
          <t xml:space="preserve">
Upfront fee: 206,542
initial (-)130</t>
        </r>
      </text>
    </comment>
    <comment ref="L365" authorId="8" shapeId="0" xr:uid="{00000000-0006-0000-0000-00001D000000}">
      <text>
        <r>
          <rPr>
            <b/>
            <sz val="9"/>
            <color indexed="81"/>
            <rFont val="Tahoma"/>
            <family val="2"/>
          </rPr>
          <t>JaeHyunKim:</t>
        </r>
        <r>
          <rPr>
            <sz val="9"/>
            <color indexed="81"/>
            <rFont val="Tahoma"/>
            <family val="2"/>
          </rPr>
          <t xml:space="preserve">
Upfront fee: 206,542
initial (-)130</t>
        </r>
      </text>
    </comment>
    <comment ref="N365" authorId="8" shapeId="0" xr:uid="{00000000-0006-0000-0000-00001E000000}">
      <text>
        <r>
          <rPr>
            <b/>
            <sz val="9"/>
            <color indexed="81"/>
            <rFont val="Tahoma"/>
            <family val="2"/>
          </rPr>
          <t>JaeHyunKim:</t>
        </r>
        <r>
          <rPr>
            <sz val="9"/>
            <color indexed="81"/>
            <rFont val="Tahoma"/>
            <family val="2"/>
          </rPr>
          <t xml:space="preserve">
Upfront fee: 206,542
initial (-)130</t>
        </r>
      </text>
    </comment>
    <comment ref="Q365" authorId="8" shapeId="0" xr:uid="{00000000-0006-0000-0000-00001F000000}">
      <text>
        <r>
          <rPr>
            <b/>
            <sz val="9"/>
            <color indexed="81"/>
            <rFont val="Tahoma"/>
            <family val="2"/>
          </rPr>
          <t xml:space="preserve">JaeHyunKim:
Upfront fee 206,542
</t>
        </r>
        <r>
          <rPr>
            <b/>
            <sz val="9"/>
            <color indexed="81"/>
            <rFont val="돋움"/>
            <family val="3"/>
            <charset val="129"/>
          </rPr>
          <t>초기자본</t>
        </r>
        <r>
          <rPr>
            <b/>
            <sz val="9"/>
            <color indexed="81"/>
            <rFont val="Tahoma"/>
            <family val="2"/>
          </rPr>
          <t>: 130</t>
        </r>
      </text>
    </comment>
    <comment ref="F371" authorId="11" shapeId="0" xr:uid="{729614D1-631B-4CEB-B116-96BD597FB3B6}">
      <text>
        <r>
          <rPr>
            <b/>
            <sz val="9"/>
            <color indexed="81"/>
            <rFont val="Tahoma"/>
            <family val="2"/>
          </rPr>
          <t>Sooju Ahn:</t>
        </r>
        <r>
          <rPr>
            <sz val="9"/>
            <color indexed="81"/>
            <rFont val="Tahoma"/>
            <family val="2"/>
          </rPr>
          <t xml:space="preserve">
variance of call letter &amp; share allotment : capital call #1 $33.543.538 share allotment $32,870,070</t>
        </r>
      </text>
    </comment>
    <comment ref="G371" authorId="6" shapeId="0" xr:uid="{E11AE955-5FB7-458D-9B8C-C2EA9313D022}">
      <text>
        <r>
          <rPr>
            <b/>
            <sz val="9"/>
            <color indexed="81"/>
            <rFont val="Tahoma"/>
            <family val="2"/>
          </rPr>
          <t>skim:</t>
        </r>
        <r>
          <rPr>
            <sz val="9"/>
            <color indexed="81"/>
            <rFont val="Tahoma"/>
            <family val="2"/>
          </rPr>
          <t xml:space="preserve">
upfront fee included in call #3
diff: 135,971+10</t>
        </r>
      </text>
    </comment>
    <comment ref="N371" authorId="11" shapeId="0" xr:uid="{3D709865-4B50-4450-BB59-7028EC2308BE}">
      <text>
        <r>
          <rPr>
            <b/>
            <sz val="9"/>
            <color indexed="81"/>
            <rFont val="Tahoma"/>
            <family val="2"/>
          </rPr>
          <t>Sooju Ahn:</t>
        </r>
        <r>
          <rPr>
            <sz val="9"/>
            <color indexed="81"/>
            <rFont val="Tahoma"/>
            <family val="2"/>
          </rPr>
          <t xml:space="preserve">
December REF loan repayment to match REF PIC and equity ratio. This amount was recognized as PIC for Gimpo Holdings (from Star)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ylee</author>
    <author>Seungjoon Lee</author>
    <author>cbok</author>
    <author>Charlie Chulsoon Bok</author>
  </authors>
  <commentList>
    <comment ref="D2" authorId="0" shapeId="0" xr:uid="{9EAB307C-8676-4F8E-B5F2-9DE2A8452F65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Call letter
</t>
        </r>
      </text>
    </comment>
    <comment ref="H26" authorId="1" shapeId="0" xr:uid="{0B0D0905-09B5-4BEB-94F1-555ACA0735B3}">
      <text>
        <r>
          <rPr>
            <b/>
            <sz val="9"/>
            <color indexed="81"/>
            <rFont val="Tahoma"/>
            <family val="2"/>
          </rPr>
          <t xml:space="preserve">Seungjoon Lee:
</t>
        </r>
        <r>
          <rPr>
            <sz val="9"/>
            <color indexed="81"/>
            <rFont val="Tahoma"/>
            <family val="2"/>
          </rPr>
          <t>AM Fee $561,593
DM Fee $2,368,704</t>
        </r>
      </text>
    </comment>
    <comment ref="I27" authorId="1" shapeId="0" xr:uid="{6BC43181-B94E-49D6-B230-0235809B7198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AM Fee $415,070</t>
        </r>
      </text>
    </comment>
    <comment ref="J28" authorId="1" shapeId="0" xr:uid="{E000437B-CF82-4BBD-8C2D-51D35B793560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AM Fee $4,244</t>
        </r>
      </text>
    </comment>
    <comment ref="K29" authorId="1" shapeId="0" xr:uid="{3A56F682-5243-4439-A6C5-42131BB7D202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AM Fee $85,942
Acq Fee $8,116</t>
        </r>
      </text>
    </comment>
    <comment ref="K31" authorId="1" shapeId="0" xr:uid="{B2F00694-1C38-4DF4-9745-B0BC6E93B6B3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Land reclamation work 2,500,000,000
Construction Management 300,000,000
Environmental Impact Assessment 200,000,000</t>
        </r>
      </text>
    </comment>
    <comment ref="I32" authorId="1" shapeId="0" xr:uid="{FDA1F3FB-F4C9-4A04-B83F-3BED1DBAD57F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Archiectural Deisign Service 5</t>
        </r>
        <r>
          <rPr>
            <sz val="9"/>
            <color indexed="81"/>
            <rFont val="돋움"/>
            <family val="3"/>
            <charset val="129"/>
          </rPr>
          <t xml:space="preserve">억
</t>
        </r>
        <r>
          <rPr>
            <sz val="9"/>
            <color indexed="81"/>
            <rFont val="Tahoma"/>
            <family val="2"/>
          </rPr>
          <t>Eviction Expense (OB Beer) 10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3" authorId="1" shapeId="0" xr:uid="{12D7E046-BF05-482F-9040-45F21F4E9B73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AM Fee : 195,877
DM Fee : 836,905
</t>
        </r>
      </text>
    </comment>
    <comment ref="I34" authorId="1" shapeId="0" xr:uid="{C09B5BD0-56D8-44CA-8949-8D6F833641B1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AM Fee : 145,520</t>
        </r>
      </text>
    </comment>
    <comment ref="J35" authorId="1" shapeId="0" xr:uid="{CD14855B-F1DF-4091-9177-E4F87E8AF7E9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AM Fee : 1,528</t>
        </r>
      </text>
    </comment>
    <comment ref="K36" authorId="1" shapeId="0" xr:uid="{A9704708-99E9-49BC-9D4D-BC4C3219E5FB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AM Fee 35,619
Land Acq Fee : 1,982</t>
        </r>
      </text>
    </comment>
    <comment ref="K37" authorId="1" shapeId="0" xr:uid="{8D8B3795-04DF-4276-AA02-BD3A1637CD5D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Land reclamation work KRW 1.3bil
CM KRW 0.2bil</t>
        </r>
      </text>
    </comment>
    <comment ref="K38" authorId="1" shapeId="0" xr:uid="{646A291D-139A-4FE7-87F7-A2E007E64788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Land reclamation 6bn
CM 500mil</t>
        </r>
      </text>
    </comment>
    <comment ref="K39" authorId="1" shapeId="0" xr:uid="{DC9FB83F-F8DD-4ED5-9401-5EF976DF4D60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AM Fee $39,990
Land Acq $13,822</t>
        </r>
      </text>
    </comment>
    <comment ref="I41" authorId="1" shapeId="0" xr:uid="{E60D9033-D2C3-44E6-82EA-1B2E4530EDD5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AM Fee $151,294
DM Fee $632,055</t>
        </r>
      </text>
    </comment>
    <comment ref="H42" authorId="1" shapeId="0" xr:uid="{712D97F5-A561-4A96-A78E-2D379EE73CE0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AM Fee $201,418
DM Fee $277,033</t>
        </r>
      </text>
    </comment>
    <comment ref="I43" authorId="1" shapeId="0" xr:uid="{FF441A2D-8EAC-4665-A947-2269AF6326AE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Demolition work 2</t>
        </r>
        <r>
          <rPr>
            <sz val="9"/>
            <color indexed="81"/>
            <rFont val="돋움"/>
            <family val="3"/>
            <charset val="129"/>
          </rPr>
          <t xml:space="preserve">억
</t>
        </r>
        <r>
          <rPr>
            <sz val="9"/>
            <color indexed="81"/>
            <rFont val="Tahoma"/>
            <family val="2"/>
          </rPr>
          <t>CM 3</t>
        </r>
        <r>
          <rPr>
            <sz val="9"/>
            <color indexed="81"/>
            <rFont val="돋움"/>
            <family val="3"/>
            <charset val="129"/>
          </rPr>
          <t>억</t>
        </r>
      </text>
    </comment>
    <comment ref="N86" authorId="2" shapeId="0" xr:uid="{9C80DB73-919B-4727-A0AE-0C5A925C7CEC}">
      <text>
        <r>
          <rPr>
            <b/>
            <sz val="9"/>
            <color indexed="81"/>
            <rFont val="Tahoma"/>
            <family val="2"/>
          </rPr>
          <t>cbok:</t>
        </r>
        <r>
          <rPr>
            <sz val="9"/>
            <color indexed="81"/>
            <rFont val="Tahoma"/>
            <family val="2"/>
          </rPr>
          <t xml:space="preserve">
bank charge surplus USD 500 </t>
        </r>
        <r>
          <rPr>
            <sz val="9"/>
            <color indexed="81"/>
            <rFont val="돋움"/>
            <family val="3"/>
            <charset val="129"/>
          </rPr>
          <t>포함</t>
        </r>
      </text>
    </comment>
    <comment ref="N89" authorId="3" shapeId="0" xr:uid="{CF876DAE-F75E-471D-9DF4-DFB4B8D338F9}">
      <text>
        <r>
          <rPr>
            <b/>
            <sz val="9"/>
            <color indexed="81"/>
            <rFont val="Tahoma"/>
            <family val="2"/>
          </rPr>
          <t>Charlie Chulsoon Bok:</t>
        </r>
        <r>
          <rPr>
            <sz val="9"/>
            <color indexed="81"/>
            <rFont val="Tahoma"/>
            <family val="2"/>
          </rPr>
          <t xml:space="preserve">
Bank charge surplus 500 </t>
        </r>
        <r>
          <rPr>
            <sz val="9"/>
            <color indexed="81"/>
            <rFont val="돋움"/>
            <family val="3"/>
            <charset val="129"/>
          </rPr>
          <t>포함</t>
        </r>
      </text>
    </comment>
    <comment ref="H101" authorId="1" shapeId="0" xr:uid="{DAD001E2-992F-4608-8545-261E4CD83221}">
      <text>
        <r>
          <rPr>
            <b/>
            <sz val="9"/>
            <color indexed="81"/>
            <rFont val="Tahoma"/>
            <family val="2"/>
          </rPr>
          <t xml:space="preserve">Seungjoon Lee:
</t>
        </r>
        <r>
          <rPr>
            <sz val="9"/>
            <color indexed="81"/>
            <rFont val="Tahoma"/>
            <family val="2"/>
          </rPr>
          <t>AM Fee $561,593
DM Fee $2,368,704</t>
        </r>
      </text>
    </comment>
    <comment ref="I102" authorId="1" shapeId="0" xr:uid="{F32BBF9F-F2B7-4A0F-9DA6-C4FA39CF58FD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AM Fee $415,070</t>
        </r>
      </text>
    </comment>
    <comment ref="J103" authorId="1" shapeId="0" xr:uid="{862F2D96-3D74-476C-A4AA-C769111651C8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AM Fee $4,244</t>
        </r>
      </text>
    </comment>
    <comment ref="K104" authorId="1" shapeId="0" xr:uid="{B4F19CAC-C4CA-4EA9-B828-D344B0280C9B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AM Fee $85,942
Acq Fee $8,116</t>
        </r>
      </text>
    </comment>
    <comment ref="I107" authorId="1" shapeId="0" xr:uid="{44B42950-A0A2-4721-90BE-1AFA617723B8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Archiectural Deisign Service 5</t>
        </r>
        <r>
          <rPr>
            <sz val="9"/>
            <color indexed="81"/>
            <rFont val="돋움"/>
            <family val="3"/>
            <charset val="129"/>
          </rPr>
          <t xml:space="preserve">억
</t>
        </r>
        <r>
          <rPr>
            <sz val="9"/>
            <color indexed="81"/>
            <rFont val="Tahoma"/>
            <family val="2"/>
          </rPr>
          <t>Eviction Expense (OB Beer) 10</t>
        </r>
        <r>
          <rPr>
            <sz val="9"/>
            <color indexed="81"/>
            <rFont val="돋움"/>
            <family val="3"/>
            <charset val="129"/>
          </rPr>
          <t>억</t>
        </r>
      </text>
    </comment>
    <comment ref="H108" authorId="1" shapeId="0" xr:uid="{068F2061-8932-4CFB-AFB2-053FA012CDF9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AM Fee : 195,877
DM Fee : 836,905
</t>
        </r>
      </text>
    </comment>
    <comment ref="I109" authorId="1" shapeId="0" xr:uid="{25D3C44F-B369-4607-BBC2-440C6AEF7557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AM Fee : 145,520</t>
        </r>
      </text>
    </comment>
    <comment ref="J110" authorId="1" shapeId="0" xr:uid="{B1B04B37-8A7A-4429-80B2-3B7884AD1FF6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AM Fee : 1,528</t>
        </r>
      </text>
    </comment>
    <comment ref="K111" authorId="1" shapeId="0" xr:uid="{C6F79BE7-59D3-49A5-A191-FC194F18EA3A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AM Fee 35,619
Land Acq Fee : 1,982</t>
        </r>
      </text>
    </comment>
    <comment ref="K112" authorId="1" shapeId="0" xr:uid="{0BEB8037-8DB0-46AE-8F60-FEAD1734FE4A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Land reclamation work KRW 1.3bil
CM KRW 0.2bil</t>
        </r>
      </text>
    </comment>
    <comment ref="K113" authorId="1" shapeId="0" xr:uid="{ECE631CB-D488-48B8-85AA-8CE3365BF42B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Land reclamation 6bn
CM 500mil</t>
        </r>
      </text>
    </comment>
    <comment ref="K114" authorId="1" shapeId="0" xr:uid="{AAE25B98-E0F2-434E-9B82-12B14A175423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AM Fee $39,990
Land Acq $13,822</t>
        </r>
      </text>
    </comment>
    <comment ref="I116" authorId="1" shapeId="0" xr:uid="{C9386EF8-573C-46B6-BB5E-ABDC2E34CCDB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AM Fee $151,294
DM Fee $632,055</t>
        </r>
      </text>
    </comment>
    <comment ref="H117" authorId="1" shapeId="0" xr:uid="{0138E3FC-CBF0-454A-A3FE-94E8C020018D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AM Fee $201,418
DM Fee $277,033</t>
        </r>
      </text>
    </comment>
    <comment ref="I118" authorId="1" shapeId="0" xr:uid="{8C1338E5-DAC8-4C8E-B06E-71A650CF5254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Demolition work 2</t>
        </r>
        <r>
          <rPr>
            <sz val="9"/>
            <color indexed="81"/>
            <rFont val="돋움"/>
            <family val="3"/>
            <charset val="129"/>
          </rPr>
          <t xml:space="preserve">억
</t>
        </r>
        <r>
          <rPr>
            <sz val="9"/>
            <color indexed="81"/>
            <rFont val="Tahoma"/>
            <family val="2"/>
          </rPr>
          <t>CM 3</t>
        </r>
        <r>
          <rPr>
            <sz val="9"/>
            <color indexed="81"/>
            <rFont val="돋움"/>
            <family val="3"/>
            <charset val="129"/>
          </rPr>
          <t>억</t>
        </r>
      </text>
    </comment>
    <comment ref="E148" authorId="2" shapeId="0" xr:uid="{C662FFB7-F2F5-43AC-A2CE-F57AD7B740FC}">
      <text>
        <r>
          <rPr>
            <b/>
            <sz val="9"/>
            <color indexed="81"/>
            <rFont val="Tahoma"/>
            <family val="2"/>
          </rPr>
          <t>cbok:</t>
        </r>
        <r>
          <rPr>
            <sz val="9"/>
            <color indexed="81"/>
            <rFont val="Tahoma"/>
            <family val="2"/>
          </rPr>
          <t xml:space="preserve">
Turtlerock/Cheyenne Portion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ylee</author>
  </authors>
  <commentList>
    <comment ref="D2" authorId="0" shapeId="0" xr:uid="{85B98867-2B80-4E76-A8AD-E75EA0B81260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Call letter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Seungjoon Lee</author>
    <author>ylee</author>
  </authors>
  <commentList>
    <comment ref="C2" authorId="0" shapeId="0" xr:uid="{0FD4003F-12A3-4576-96BC-90674578F789}">
      <text>
        <r>
          <rPr>
            <b/>
            <sz val="9"/>
            <color indexed="81"/>
            <rFont val="Tahoma"/>
            <family val="2"/>
          </rPr>
          <t>Seungjoon Lee:</t>
        </r>
        <r>
          <rPr>
            <sz val="9"/>
            <color indexed="81"/>
            <rFont val="Tahoma"/>
            <family val="2"/>
          </rPr>
          <t xml:space="preserve">
fund date</t>
        </r>
      </text>
    </comment>
    <comment ref="D2" authorId="1" shapeId="0" xr:uid="{F4B52152-31EC-4321-92DA-E4B0E0EBB989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Call letter
</t>
        </r>
      </text>
    </comment>
    <comment ref="D25" authorId="1" shapeId="0" xr:uid="{2C4239FE-598A-433E-B6E5-EA82A23D304A}">
      <text>
        <r>
          <rPr>
            <b/>
            <sz val="9"/>
            <color indexed="81"/>
            <rFont val="Tahoma"/>
            <family val="2"/>
          </rPr>
          <t>ylee:</t>
        </r>
        <r>
          <rPr>
            <sz val="9"/>
            <color indexed="81"/>
            <rFont val="Tahoma"/>
            <family val="2"/>
          </rPr>
          <t xml:space="preserve">
Call letter
</t>
        </r>
      </text>
    </comment>
  </commentList>
</comments>
</file>

<file path=xl/sharedStrings.xml><?xml version="1.0" encoding="utf-8"?>
<sst xmlns="http://schemas.openxmlformats.org/spreadsheetml/2006/main" count="1168" uniqueCount="647">
  <si>
    <t>Capital Call 1</t>
  </si>
  <si>
    <t>Capital Call 2</t>
  </si>
  <si>
    <t>Capital Call 3</t>
  </si>
  <si>
    <t>Capital Call 4</t>
  </si>
  <si>
    <t>Capital Call 5</t>
  </si>
  <si>
    <t>Capital Call 6</t>
  </si>
  <si>
    <t>Capital Call 7</t>
  </si>
  <si>
    <t>Capital Call 8</t>
  </si>
  <si>
    <t>Capital Call 9</t>
  </si>
  <si>
    <t>Capital Call 10</t>
  </si>
  <si>
    <t>Capital Call 11</t>
  </si>
  <si>
    <t>Capital Call 12</t>
  </si>
  <si>
    <t>Capital Call 13</t>
  </si>
  <si>
    <t>Capital Call 14</t>
  </si>
  <si>
    <t>Capital Call 15</t>
  </si>
  <si>
    <t>Bucheon Cold</t>
  </si>
  <si>
    <t xml:space="preserve">Majang </t>
  </si>
  <si>
    <t>Bucheon</t>
  </si>
  <si>
    <t>Gachang</t>
  </si>
  <si>
    <t>Goyang</t>
  </si>
  <si>
    <t>Juksan</t>
  </si>
  <si>
    <t>Gimhae Sangdong</t>
  </si>
  <si>
    <t>Project Majang</t>
  </si>
  <si>
    <t>Offshore fee (Q217)</t>
  </si>
  <si>
    <t>Ilmok star</t>
  </si>
  <si>
    <t>Ilmok networks</t>
  </si>
  <si>
    <t>Details</t>
  </si>
  <si>
    <t>Sum</t>
    <phoneticPr fontId="3" type="noConversion"/>
  </si>
  <si>
    <t>Ex rate</t>
    <phoneticPr fontId="3" type="noConversion"/>
  </si>
  <si>
    <t>Goyang+Juksan(Ilmok Star)</t>
  </si>
  <si>
    <t>Goyang+Juksan</t>
  </si>
  <si>
    <t>Bucheon 1-3 (Ilmok Star)</t>
  </si>
  <si>
    <t>Gimhae Sangdong(Ilmok Star)</t>
  </si>
  <si>
    <t>Bucheon &amp; Gachang</t>
  </si>
  <si>
    <t>Bucheon 1-3</t>
    <phoneticPr fontId="3" type="noConversion"/>
  </si>
  <si>
    <t>Goyang</t>
    <phoneticPr fontId="3" type="noConversion"/>
  </si>
  <si>
    <t>Ilmok Star repaid the loan in May17 :USD 9,880,900 (Sunwood Star cash inflow : 9,880,881.5)</t>
  </si>
  <si>
    <t>fy15</t>
    <phoneticPr fontId="3" type="noConversion"/>
  </si>
  <si>
    <t>fy16</t>
    <phoneticPr fontId="3" type="noConversion"/>
  </si>
  <si>
    <t>fy17</t>
    <phoneticPr fontId="3" type="noConversion"/>
  </si>
  <si>
    <t>Sanha</t>
    <phoneticPr fontId="3" type="noConversion"/>
  </si>
  <si>
    <t>Gimpo</t>
    <phoneticPr fontId="3" type="noConversion"/>
  </si>
  <si>
    <t>Value date</t>
    <phoneticPr fontId="3" type="noConversion"/>
  </si>
  <si>
    <t>fund received back from junksan</t>
    <phoneticPr fontId="3" type="noConversion"/>
  </si>
  <si>
    <t>Offshore fee (Q117)</t>
    <phoneticPr fontId="3" type="noConversion"/>
  </si>
  <si>
    <t>Capital Call 16</t>
    <phoneticPr fontId="3" type="noConversion"/>
  </si>
  <si>
    <t>Project Sanha</t>
    <phoneticPr fontId="3" type="noConversion"/>
  </si>
  <si>
    <t>Capital Call 17</t>
    <phoneticPr fontId="3" type="noConversion"/>
  </si>
  <si>
    <t>Project Gimpo</t>
    <phoneticPr fontId="3" type="noConversion"/>
  </si>
  <si>
    <t>capital Call 16</t>
    <phoneticPr fontId="3" type="noConversion"/>
  </si>
  <si>
    <t>Total</t>
    <phoneticPr fontId="3" type="noConversion"/>
  </si>
  <si>
    <t>Capital Call 18</t>
    <phoneticPr fontId="3" type="noConversion"/>
  </si>
  <si>
    <t>Project Opo</t>
    <phoneticPr fontId="3" type="noConversion"/>
  </si>
  <si>
    <t>Opo</t>
  </si>
  <si>
    <t>Opo</t>
    <phoneticPr fontId="3" type="noConversion"/>
  </si>
  <si>
    <t>in USD</t>
    <phoneticPr fontId="3" type="noConversion"/>
  </si>
  <si>
    <t>in KRW</t>
    <phoneticPr fontId="3" type="noConversion"/>
  </si>
  <si>
    <t>Project Juksan (upfront fee)</t>
    <phoneticPr fontId="3" type="noConversion"/>
  </si>
  <si>
    <t>Capital Call 19</t>
    <phoneticPr fontId="3" type="noConversion"/>
  </si>
  <si>
    <t>Offshore fee (Q317)</t>
    <phoneticPr fontId="3" type="noConversion"/>
  </si>
  <si>
    <t>NHN</t>
    <phoneticPr fontId="3" type="noConversion"/>
  </si>
  <si>
    <t>DSL</t>
    <phoneticPr fontId="3" type="noConversion"/>
  </si>
  <si>
    <t>Core #1</t>
    <phoneticPr fontId="3" type="noConversion"/>
  </si>
  <si>
    <t>NHN</t>
    <phoneticPr fontId="3" type="noConversion"/>
  </si>
  <si>
    <t>Core #2</t>
    <phoneticPr fontId="3" type="noConversion"/>
  </si>
  <si>
    <t>DSL</t>
    <phoneticPr fontId="3" type="noConversion"/>
  </si>
  <si>
    <t>Core #3</t>
    <phoneticPr fontId="3" type="noConversion"/>
  </si>
  <si>
    <t xml:space="preserve">NHN&amp;DSL </t>
    <phoneticPr fontId="3" type="noConversion"/>
  </si>
  <si>
    <t>Ilmok networks investment</t>
  </si>
  <si>
    <t>Ilmok networks investment (BU cold)</t>
  </si>
  <si>
    <t>Ilmok star loan repayment(SD)</t>
  </si>
  <si>
    <t>Ilmok networks investment (Majang)</t>
  </si>
  <si>
    <t>Ex rate</t>
  </si>
  <si>
    <t>Ilmok networks investment (Sanha)</t>
  </si>
  <si>
    <t>Ilmok networks investment (Gimpo)</t>
  </si>
  <si>
    <t>Core #4</t>
    <phoneticPr fontId="3" type="noConversion"/>
  </si>
  <si>
    <t>Mokcheon</t>
    <phoneticPr fontId="3" type="noConversion"/>
  </si>
  <si>
    <t>Mokcheon</t>
    <phoneticPr fontId="3" type="noConversion"/>
  </si>
  <si>
    <t>Capital Call 20</t>
    <phoneticPr fontId="3" type="noConversion"/>
  </si>
  <si>
    <t>Project Juksan</t>
    <phoneticPr fontId="3" type="noConversion"/>
  </si>
  <si>
    <t>fy18</t>
    <phoneticPr fontId="3" type="noConversion"/>
  </si>
  <si>
    <t>Core #5</t>
    <phoneticPr fontId="3" type="noConversion"/>
  </si>
  <si>
    <t>Jungan</t>
    <phoneticPr fontId="3" type="noConversion"/>
  </si>
  <si>
    <t>Jungan</t>
    <phoneticPr fontId="3" type="noConversion"/>
  </si>
  <si>
    <t>Capital Call 21</t>
    <phoneticPr fontId="3" type="noConversion"/>
  </si>
  <si>
    <t>Ilmok star loan repayment</t>
    <phoneticPr fontId="3" type="noConversion"/>
  </si>
  <si>
    <t>Capital Call 22</t>
    <phoneticPr fontId="3" type="noConversion"/>
  </si>
  <si>
    <t>Offshore fee (Q417)</t>
    <phoneticPr fontId="3" type="noConversion"/>
  </si>
  <si>
    <t xml:space="preserve">Sunwood SG Holding </t>
  </si>
  <si>
    <t xml:space="preserve">부천 </t>
  </si>
  <si>
    <t>가창</t>
  </si>
  <si>
    <t xml:space="preserve">고양 </t>
  </si>
  <si>
    <t>죽산</t>
  </si>
  <si>
    <t>상동</t>
  </si>
  <si>
    <t>마장</t>
  </si>
  <si>
    <t>산하</t>
  </si>
  <si>
    <t>신대</t>
  </si>
  <si>
    <t>김포</t>
  </si>
  <si>
    <t>오포</t>
  </si>
  <si>
    <t>Call from B 1-3 But it for a Ilmokstar</t>
    <phoneticPr fontId="3" type="noConversion"/>
  </si>
  <si>
    <t>Capital Call 23</t>
    <phoneticPr fontId="3" type="noConversion"/>
  </si>
  <si>
    <t>Project Sanha</t>
    <phoneticPr fontId="3" type="noConversion"/>
  </si>
  <si>
    <t>DSL</t>
  </si>
  <si>
    <t>KRW</t>
    <phoneticPr fontId="3" type="noConversion"/>
  </si>
  <si>
    <t>FX rate</t>
    <phoneticPr fontId="3" type="noConversion"/>
  </si>
  <si>
    <t>USD</t>
    <phoneticPr fontId="3" type="noConversion"/>
  </si>
  <si>
    <t>FILA</t>
  </si>
  <si>
    <t>FILA</t>
    <phoneticPr fontId="3" type="noConversion"/>
  </si>
  <si>
    <t>Wired date</t>
    <phoneticPr fontId="3" type="noConversion"/>
  </si>
  <si>
    <t>Request date</t>
    <phoneticPr fontId="3" type="noConversion"/>
  </si>
  <si>
    <t>누적</t>
    <phoneticPr fontId="3" type="noConversion"/>
  </si>
  <si>
    <t>Call + Ilmok Networks (수식참고)</t>
  </si>
  <si>
    <t>Capital Drawdown</t>
  </si>
  <si>
    <t>부천콜드</t>
  </si>
  <si>
    <t>Call</t>
  </si>
  <si>
    <t>Mokchon</t>
    <phoneticPr fontId="3" type="noConversion"/>
  </si>
  <si>
    <t>Capital Call 24</t>
    <phoneticPr fontId="3" type="noConversion"/>
  </si>
  <si>
    <t>Ansung</t>
    <phoneticPr fontId="3" type="noConversion"/>
  </si>
  <si>
    <t>Capital Call 25</t>
    <phoneticPr fontId="3" type="noConversion"/>
  </si>
  <si>
    <t>Project Ansung</t>
    <phoneticPr fontId="3" type="noConversion"/>
  </si>
  <si>
    <t>NHN</t>
  </si>
  <si>
    <t>4호</t>
  </si>
  <si>
    <t>5호</t>
  </si>
  <si>
    <t>7호</t>
  </si>
  <si>
    <t>6호</t>
  </si>
  <si>
    <t>안성</t>
    <phoneticPr fontId="3" type="noConversion"/>
  </si>
  <si>
    <t>Capital Call 26</t>
    <phoneticPr fontId="3" type="noConversion"/>
  </si>
  <si>
    <t>Project Majang, Opo &amp; Gimpo</t>
    <phoneticPr fontId="3" type="noConversion"/>
  </si>
  <si>
    <t>Offshore fee (Q118)</t>
    <phoneticPr fontId="3" type="noConversion"/>
  </si>
  <si>
    <t>Capital Call 27</t>
    <phoneticPr fontId="3" type="noConversion"/>
  </si>
  <si>
    <t>Capital Call 28</t>
    <phoneticPr fontId="3" type="noConversion"/>
  </si>
  <si>
    <t>Project Majang &amp; Sanha</t>
    <phoneticPr fontId="3" type="noConversion"/>
  </si>
  <si>
    <t>Capital Call 29</t>
    <phoneticPr fontId="3" type="noConversion"/>
  </si>
  <si>
    <t>Offshore fee (Q218)</t>
    <phoneticPr fontId="3" type="noConversion"/>
  </si>
  <si>
    <t>Call from B 1-3 for Bucheon, Gachang, Ilmok</t>
    <phoneticPr fontId="3" type="noConversion"/>
  </si>
  <si>
    <t>Mokcheon</t>
  </si>
  <si>
    <t>Fila</t>
  </si>
  <si>
    <t>Fila</t>
    <phoneticPr fontId="3" type="noConversion"/>
  </si>
  <si>
    <t>Assist Korea</t>
  </si>
  <si>
    <t>FY18</t>
  </si>
  <si>
    <t>FY18</t>
    <phoneticPr fontId="3" type="noConversion"/>
  </si>
  <si>
    <t>Maplewood</t>
  </si>
  <si>
    <t>Maplewood</t>
    <phoneticPr fontId="3" type="noConversion"/>
  </si>
  <si>
    <t>Juangan</t>
  </si>
  <si>
    <t>Juangan</t>
    <phoneticPr fontId="3" type="noConversion"/>
  </si>
  <si>
    <t>PIC</t>
    <phoneticPr fontId="3" type="noConversion"/>
  </si>
  <si>
    <t>ESR</t>
    <phoneticPr fontId="3" type="noConversion"/>
  </si>
  <si>
    <t>CPPIB</t>
    <phoneticPr fontId="3" type="noConversion"/>
  </si>
  <si>
    <t>Capital drawndown</t>
    <phoneticPr fontId="3" type="noConversion"/>
  </si>
  <si>
    <t>Leasing Fee</t>
  </si>
  <si>
    <t>Acquisition Fee</t>
  </si>
  <si>
    <t>차이</t>
  </si>
  <si>
    <t>SG 보유분 또는 Loan 사용</t>
  </si>
  <si>
    <t>#1</t>
  </si>
  <si>
    <t>#M1</t>
    <phoneticPr fontId="3" type="noConversion"/>
  </si>
  <si>
    <t>2nd investor(NHN,Mokcheon, DSL, Fila, Assist Korea)</t>
    <phoneticPr fontId="3" type="noConversion"/>
  </si>
  <si>
    <t>PIC OR Long term investment</t>
    <phoneticPr fontId="3" type="noConversion"/>
  </si>
  <si>
    <t>SG 보유분 현금</t>
    <phoneticPr fontId="3" type="noConversion"/>
  </si>
  <si>
    <t>#M1</t>
    <phoneticPr fontId="3" type="noConversion"/>
  </si>
  <si>
    <t>Total</t>
  </si>
  <si>
    <t>Total</t>
    <phoneticPr fontId="3" type="noConversion"/>
  </si>
  <si>
    <t>additional Loan</t>
  </si>
  <si>
    <t>additional Loan</t>
    <phoneticPr fontId="3" type="noConversion"/>
  </si>
  <si>
    <t>#JV 1</t>
    <phoneticPr fontId="3" type="noConversion"/>
  </si>
  <si>
    <t>Project Ansung, Opo, Majang, Juksan, Sanha</t>
    <phoneticPr fontId="3" type="noConversion"/>
  </si>
  <si>
    <t>Upfront fee</t>
    <phoneticPr fontId="3" type="noConversion"/>
  </si>
  <si>
    <t>Capital Call 30</t>
    <phoneticPr fontId="3" type="noConversion"/>
  </si>
  <si>
    <t>Project Sanha</t>
  </si>
  <si>
    <t>Project Opo</t>
  </si>
  <si>
    <t>Project Ansung</t>
  </si>
  <si>
    <t>Project Majang, Opo &amp; Gimpo</t>
  </si>
  <si>
    <t>Offshore fee (Q118)</t>
  </si>
  <si>
    <t>Project Gimpo</t>
  </si>
  <si>
    <t>Project Majang &amp; Sanha</t>
  </si>
  <si>
    <t>Offshore fee (Q218)</t>
  </si>
  <si>
    <t>Call from B 1-3 for Bucheon, Gachang, Ilmok</t>
  </si>
  <si>
    <t>Project Ansung, Opo, Majang, Juksan, Sanha</t>
  </si>
  <si>
    <t>Upfront fee</t>
  </si>
  <si>
    <t>Ansung</t>
  </si>
  <si>
    <t>Offshore fee (Q318)</t>
    <phoneticPr fontId="3" type="noConversion"/>
  </si>
  <si>
    <t xml:space="preserve">Upstream loan </t>
  </si>
  <si>
    <t>Juksan</t>
    <phoneticPr fontId="3" type="noConversion"/>
  </si>
  <si>
    <t>Capital Call 30-2 Gachang upstream loan Used )Not call to investor</t>
    <phoneticPr fontId="3" type="noConversion"/>
  </si>
  <si>
    <t>Capital Call 31</t>
    <phoneticPr fontId="3" type="noConversion"/>
  </si>
  <si>
    <t>Namsa</t>
    <phoneticPr fontId="3" type="noConversion"/>
  </si>
  <si>
    <t>Juksan &amp; Majang&amp;Sanha&amp;Namsa</t>
    <phoneticPr fontId="3" type="noConversion"/>
  </si>
  <si>
    <t>남사</t>
    <phoneticPr fontId="3" type="noConversion"/>
  </si>
  <si>
    <t>Capital Call 32</t>
    <phoneticPr fontId="3" type="noConversion"/>
  </si>
  <si>
    <t>Ansung, Sangdong &amp; Opo, Namsa</t>
    <phoneticPr fontId="3" type="noConversion"/>
  </si>
  <si>
    <t>Capital Call 33</t>
    <phoneticPr fontId="3" type="noConversion"/>
  </si>
  <si>
    <t>Iljuk</t>
    <phoneticPr fontId="3" type="noConversion"/>
  </si>
  <si>
    <t>일죽</t>
    <phoneticPr fontId="3" type="noConversion"/>
  </si>
  <si>
    <t>#JV 2</t>
    <phoneticPr fontId="3" type="noConversion"/>
  </si>
  <si>
    <t>AMB Icheon</t>
    <phoneticPr fontId="3" type="noConversion"/>
  </si>
  <si>
    <t>Sangwoo Logis</t>
    <phoneticPr fontId="3" type="noConversion"/>
  </si>
  <si>
    <t>Capital drawndown</t>
  </si>
  <si>
    <t>Partial realnacing</t>
    <phoneticPr fontId="3" type="noConversion"/>
  </si>
  <si>
    <t>True-up Acquisition fee</t>
    <phoneticPr fontId="3" type="noConversion"/>
  </si>
  <si>
    <t>#33</t>
    <phoneticPr fontId="3" type="noConversion"/>
  </si>
  <si>
    <t>AMB icheon</t>
    <phoneticPr fontId="3" type="noConversion"/>
  </si>
  <si>
    <t>Temporary fund utilization from Sunwood Star</t>
  </si>
  <si>
    <t>Capital Call 34</t>
    <phoneticPr fontId="3" type="noConversion"/>
  </si>
  <si>
    <t>Capital Call 35</t>
    <phoneticPr fontId="3" type="noConversion"/>
  </si>
  <si>
    <t>Sangdong, Ansung</t>
    <phoneticPr fontId="3" type="noConversion"/>
  </si>
  <si>
    <t>Namsa, Iljuk</t>
    <phoneticPr fontId="3" type="noConversion"/>
  </si>
  <si>
    <t>Capital Call 36</t>
    <phoneticPr fontId="3" type="noConversion"/>
  </si>
  <si>
    <t>Gimpo, Sanha, Majang, Opo</t>
    <phoneticPr fontId="3" type="noConversion"/>
  </si>
  <si>
    <t>Offshore fee (Q418)</t>
    <phoneticPr fontId="3" type="noConversion"/>
  </si>
  <si>
    <t>Iljuk(Star 1)</t>
    <phoneticPr fontId="3" type="noConversion"/>
  </si>
  <si>
    <t>Namsa(Yongin)</t>
    <phoneticPr fontId="3" type="noConversion"/>
  </si>
  <si>
    <t>Capital Call 37</t>
    <phoneticPr fontId="3" type="noConversion"/>
  </si>
  <si>
    <t>Gimhae Sangdong</t>
    <phoneticPr fontId="3" type="noConversion"/>
  </si>
  <si>
    <t>Capital Call 34</t>
  </si>
  <si>
    <t>Gimpo</t>
  </si>
  <si>
    <t>Capital Call 35</t>
  </si>
  <si>
    <t>Sangdong, Ansung</t>
  </si>
  <si>
    <t>Namsa, Iljuk</t>
  </si>
  <si>
    <t>Capital Call 36</t>
  </si>
  <si>
    <t>Gimpo, Sanha, Majang, Opo</t>
  </si>
  <si>
    <t>Offshore fee (Q418)</t>
  </si>
  <si>
    <t>Capital Call 37</t>
  </si>
  <si>
    <t>Capital Call 38</t>
    <phoneticPr fontId="3" type="noConversion"/>
  </si>
  <si>
    <t>Sanha, Majang, Juksan, Changwon</t>
    <phoneticPr fontId="3" type="noConversion"/>
  </si>
  <si>
    <t>Capital Call 38</t>
    <phoneticPr fontId="3" type="noConversion"/>
  </si>
  <si>
    <t>창원</t>
    <phoneticPr fontId="3" type="noConversion"/>
  </si>
  <si>
    <t>Capital Call 39</t>
    <phoneticPr fontId="3" type="noConversion"/>
  </si>
  <si>
    <t>Gimpo, Opo, Sangdong</t>
    <phoneticPr fontId="3" type="noConversion"/>
  </si>
  <si>
    <t>Temporary fund utilization from Sunwood SG</t>
    <phoneticPr fontId="3" type="noConversion"/>
  </si>
  <si>
    <t>Ilmok Networks</t>
    <phoneticPr fontId="3" type="noConversion"/>
  </si>
  <si>
    <t>Capital Call 40</t>
    <phoneticPr fontId="3" type="noConversion"/>
  </si>
  <si>
    <t>Opo, Bucheon Cold</t>
  </si>
  <si>
    <t>Opo, Bucheon Cold</t>
    <phoneticPr fontId="3" type="noConversion"/>
  </si>
  <si>
    <t>Offshore fee (Q119)</t>
  </si>
  <si>
    <t>Offshore fee (Q119)</t>
    <phoneticPr fontId="3" type="noConversion"/>
  </si>
  <si>
    <t>Gimpo, Opo, Gimhae Sangdong</t>
    <phoneticPr fontId="3" type="noConversion"/>
  </si>
  <si>
    <t>Capital Call 41</t>
    <phoneticPr fontId="3" type="noConversion"/>
  </si>
  <si>
    <t>Majang, Opo, Changwon, Juksan</t>
    <phoneticPr fontId="3" type="noConversion"/>
  </si>
  <si>
    <t>Call for Ilmok Star</t>
    <phoneticPr fontId="3" type="noConversion"/>
  </si>
  <si>
    <t>Capital Call 42</t>
  </si>
  <si>
    <t>Bucheon Cold, Iljuk, Changwon</t>
    <phoneticPr fontId="3" type="noConversion"/>
  </si>
  <si>
    <t>Capital Call 43</t>
  </si>
  <si>
    <t>Capital Call 43</t>
    <phoneticPr fontId="3" type="noConversion"/>
  </si>
  <si>
    <t xml:space="preserve">Changwon, Juksan </t>
  </si>
  <si>
    <t xml:space="preserve">Changwon, Juksan </t>
    <phoneticPr fontId="3" type="noConversion"/>
  </si>
  <si>
    <t xml:space="preserve">Ilyang Logis </t>
    <phoneticPr fontId="3" type="noConversion"/>
  </si>
  <si>
    <t>Osan</t>
    <phoneticPr fontId="3" type="noConversion"/>
  </si>
  <si>
    <t>CPPIB REF</t>
    <phoneticPr fontId="3" type="noConversion"/>
  </si>
  <si>
    <t xml:space="preserve">Maplewood </t>
    <phoneticPr fontId="3" type="noConversion"/>
  </si>
  <si>
    <t>KSAMC</t>
    <phoneticPr fontId="3" type="noConversion"/>
  </si>
  <si>
    <t>Osan</t>
    <phoneticPr fontId="3" type="noConversion"/>
  </si>
  <si>
    <t>Ilyang, AMB Icheon acquisition fee</t>
    <phoneticPr fontId="3" type="noConversion"/>
  </si>
  <si>
    <t>AMB Icheon, Sangwoo Logis</t>
    <phoneticPr fontId="3" type="noConversion"/>
  </si>
  <si>
    <t>Assist Korea</t>
    <phoneticPr fontId="3" type="noConversion"/>
  </si>
  <si>
    <t>NHN, DSL, Jungan, Fila</t>
    <phoneticPr fontId="3" type="noConversion"/>
  </si>
  <si>
    <t>Maple</t>
    <phoneticPr fontId="3" type="noConversion"/>
  </si>
  <si>
    <t>Based on the Capital Call letter</t>
    <phoneticPr fontId="3" type="noConversion"/>
  </si>
  <si>
    <t>NHN, Mokcheon, DSL, Fila, Jungan, Assist Korea</t>
    <phoneticPr fontId="3" type="noConversion"/>
  </si>
  <si>
    <t>Call #</t>
    <phoneticPr fontId="3" type="noConversion"/>
  </si>
  <si>
    <t>Date</t>
    <phoneticPr fontId="3" type="noConversion"/>
  </si>
  <si>
    <t>Detail</t>
    <phoneticPr fontId="3" type="noConversion"/>
  </si>
  <si>
    <t>Initial Commitment</t>
    <phoneticPr fontId="28" type="noConversion"/>
  </si>
  <si>
    <t>Total Commitment</t>
    <phoneticPr fontId="28" type="noConversion"/>
  </si>
  <si>
    <t xml:space="preserve">CPPIB </t>
    <phoneticPr fontId="3" type="noConversion"/>
  </si>
  <si>
    <t>in USD</t>
    <phoneticPr fontId="31" type="noConversion"/>
  </si>
  <si>
    <t>in KRW</t>
    <phoneticPr fontId="31" type="noConversion"/>
  </si>
  <si>
    <t>Income JV Total Commitment</t>
    <phoneticPr fontId="28" type="noConversion"/>
  </si>
  <si>
    <t>Jun19 end rate</t>
    <phoneticPr fontId="3" type="noConversion"/>
  </si>
  <si>
    <t xml:space="preserve">Bucheon Cold, Namsa, </t>
    <phoneticPr fontId="3" type="noConversion"/>
  </si>
  <si>
    <t>Offshore fee (Q219)</t>
    <phoneticPr fontId="3" type="noConversion"/>
  </si>
  <si>
    <t>Offshore Admin Cost</t>
    <phoneticPr fontId="3" type="noConversion"/>
  </si>
  <si>
    <t>Adjustment on offshore fee</t>
    <phoneticPr fontId="3" type="noConversion"/>
  </si>
  <si>
    <t>Adjustment on Offshore Admin Cost</t>
    <phoneticPr fontId="3" type="noConversion"/>
  </si>
  <si>
    <t>Capital Call 44</t>
    <phoneticPr fontId="3" type="noConversion"/>
  </si>
  <si>
    <t>DC Ipyeong</t>
    <phoneticPr fontId="3" type="noConversion"/>
  </si>
  <si>
    <t>Used Cash (dividend received + due to FX)</t>
    <phoneticPr fontId="3" type="noConversion"/>
  </si>
  <si>
    <t>산하2</t>
    <phoneticPr fontId="3" type="noConversion"/>
  </si>
  <si>
    <t>Capital Call 45</t>
    <phoneticPr fontId="3" type="noConversion"/>
  </si>
  <si>
    <t>Sanha2, Iljuk</t>
    <phoneticPr fontId="3" type="noConversion"/>
  </si>
  <si>
    <t>upfront fee,</t>
    <phoneticPr fontId="3" type="noConversion"/>
  </si>
  <si>
    <t xml:space="preserve"> Ilmok Networks</t>
  </si>
  <si>
    <t>Ilmok Networks</t>
    <phoneticPr fontId="3" type="noConversion"/>
  </si>
  <si>
    <t>Bucheon(offshore fee) &amp; Gachang</t>
    <phoneticPr fontId="3" type="noConversion"/>
  </si>
  <si>
    <t>exclude upstream loan</t>
    <phoneticPr fontId="3" type="noConversion"/>
  </si>
  <si>
    <t>Include upsteam loan</t>
    <phoneticPr fontId="3" type="noConversion"/>
  </si>
  <si>
    <t>Capital call 46</t>
    <phoneticPr fontId="3" type="noConversion"/>
  </si>
  <si>
    <t>Bucheon Cold, Wongok, Iljuk, Changwon, Sanha 2</t>
    <phoneticPr fontId="3" type="noConversion"/>
  </si>
  <si>
    <t>Offshore fee (Q319)</t>
    <phoneticPr fontId="3" type="noConversion"/>
  </si>
  <si>
    <t>Capital call 47</t>
    <phoneticPr fontId="3" type="noConversion"/>
  </si>
  <si>
    <t>Changwon</t>
    <phoneticPr fontId="3" type="noConversion"/>
  </si>
  <si>
    <t>Osan</t>
    <phoneticPr fontId="3" type="noConversion"/>
  </si>
  <si>
    <t xml:space="preserve">Sunwood Terra </t>
    <phoneticPr fontId="3" type="noConversion"/>
  </si>
  <si>
    <t>Capital call 48</t>
    <phoneticPr fontId="3" type="noConversion"/>
  </si>
  <si>
    <t>Offshore fee (Q419)</t>
    <phoneticPr fontId="3" type="noConversion"/>
  </si>
  <si>
    <t>W/H tax on Majang SH loan repayment</t>
    <phoneticPr fontId="3" type="noConversion"/>
  </si>
  <si>
    <t>Sanha 2 (star 3)</t>
    <phoneticPr fontId="3" type="noConversion"/>
  </si>
  <si>
    <t>Changwon (Star 2)</t>
    <phoneticPr fontId="3" type="noConversion"/>
  </si>
  <si>
    <t>Capital call 49</t>
    <phoneticPr fontId="3" type="noConversion"/>
  </si>
  <si>
    <t>Capital call 50</t>
    <phoneticPr fontId="3" type="noConversion"/>
  </si>
  <si>
    <t>gimhae 3, Ilmok Networks</t>
    <phoneticPr fontId="3" type="noConversion"/>
  </si>
  <si>
    <t>김해3</t>
    <phoneticPr fontId="3" type="noConversion"/>
  </si>
  <si>
    <t>Geomdan</t>
    <phoneticPr fontId="3" type="noConversion"/>
  </si>
  <si>
    <t>JV2</t>
    <phoneticPr fontId="3" type="noConversion"/>
  </si>
  <si>
    <t>Capital call 51</t>
    <phoneticPr fontId="3" type="noConversion"/>
  </si>
  <si>
    <t>Gimhae 3, Opo</t>
    <phoneticPr fontId="3" type="noConversion"/>
  </si>
  <si>
    <t>Gimhae 3 (star 4)</t>
    <phoneticPr fontId="3" type="noConversion"/>
  </si>
  <si>
    <t>가창 Upstream loan 사용</t>
    <phoneticPr fontId="3" type="noConversion"/>
  </si>
  <si>
    <t>부천Holding 배당금 사용</t>
    <phoneticPr fontId="3" type="noConversion"/>
  </si>
  <si>
    <t>Call drawdown</t>
    <phoneticPr fontId="3" type="noConversion"/>
  </si>
  <si>
    <t>Total Project call drawdown</t>
    <phoneticPr fontId="3" type="noConversion"/>
  </si>
  <si>
    <t>Call (Ilmok Networks 포함안됨)</t>
    <phoneticPr fontId="3" type="noConversion"/>
  </si>
  <si>
    <t>Sanha2, Gimhae 3</t>
    <phoneticPr fontId="3" type="noConversion"/>
  </si>
  <si>
    <t>Offshore fee (Q120)</t>
    <phoneticPr fontId="3" type="noConversion"/>
  </si>
  <si>
    <t>Cheyenne</t>
    <phoneticPr fontId="3" type="noConversion"/>
  </si>
  <si>
    <t>Capital call 51.2
(used with Bucheon Holding dividend)</t>
    <phoneticPr fontId="3" type="noConversion"/>
  </si>
  <si>
    <t>Capital Call 52</t>
    <phoneticPr fontId="3" type="noConversion"/>
  </si>
  <si>
    <t>Namsa, Iljuk, Gimhae 3</t>
    <phoneticPr fontId="3" type="noConversion"/>
  </si>
  <si>
    <t xml:space="preserve">Upstream loan </t>
    <phoneticPr fontId="3" type="noConversion"/>
  </si>
  <si>
    <t>Adjustment</t>
    <phoneticPr fontId="3" type="noConversion"/>
  </si>
  <si>
    <t>Difference</t>
    <phoneticPr fontId="3" type="noConversion"/>
  </si>
  <si>
    <t>Upfront fee</t>
    <phoneticPr fontId="3" type="noConversion"/>
  </si>
  <si>
    <t>Set-up share capital</t>
    <phoneticPr fontId="3" type="noConversion"/>
  </si>
  <si>
    <t>Capital Call 53</t>
    <phoneticPr fontId="3" type="noConversion"/>
  </si>
  <si>
    <t>Offshore fee (Q220)</t>
    <phoneticPr fontId="3" type="noConversion"/>
  </si>
  <si>
    <t>Namyangju</t>
    <phoneticPr fontId="3" type="noConversion"/>
  </si>
  <si>
    <t>Namyangju (Star 5)</t>
    <phoneticPr fontId="3" type="noConversion"/>
  </si>
  <si>
    <t>Sanha 2 (Star 3)</t>
    <phoneticPr fontId="3" type="noConversion"/>
  </si>
  <si>
    <t>Iljuk (Star 1)</t>
    <phoneticPr fontId="3" type="noConversion"/>
  </si>
  <si>
    <t>Capital Call 53</t>
    <phoneticPr fontId="3" type="noConversion"/>
  </si>
  <si>
    <t>Adjustment on offshore fee</t>
    <phoneticPr fontId="3" type="noConversion"/>
  </si>
  <si>
    <t>Upfront fee for Gimhae 3, Namyangju</t>
    <phoneticPr fontId="3" type="noConversion"/>
  </si>
  <si>
    <t>Capital Call 2</t>
    <phoneticPr fontId="3" type="noConversion"/>
  </si>
  <si>
    <t>Geomdan</t>
    <phoneticPr fontId="3" type="noConversion"/>
  </si>
  <si>
    <t>Sunwood Nova</t>
    <phoneticPr fontId="3" type="noConversion"/>
  </si>
  <si>
    <t>Total</t>
    <phoneticPr fontId="3" type="noConversion"/>
  </si>
  <si>
    <t>To record as PIC</t>
    <phoneticPr fontId="3" type="noConversion"/>
  </si>
  <si>
    <t>Capital Call 54</t>
    <phoneticPr fontId="3" type="noConversion"/>
  </si>
  <si>
    <t>Namsa Iljuk</t>
    <phoneticPr fontId="3" type="noConversion"/>
  </si>
  <si>
    <t>ESR Pre-funding+5% IRR carry cost</t>
    <phoneticPr fontId="3" type="noConversion"/>
  </si>
  <si>
    <t>Capital Call 55</t>
    <phoneticPr fontId="3" type="noConversion"/>
  </si>
  <si>
    <t>Offshore fee (Q320)</t>
    <phoneticPr fontId="3" type="noConversion"/>
  </si>
  <si>
    <t>Namsa</t>
    <phoneticPr fontId="3" type="noConversion"/>
  </si>
  <si>
    <t>Capital Call 55</t>
    <phoneticPr fontId="3" type="noConversion"/>
  </si>
  <si>
    <t>Adjustment on offshore fee (Q320)</t>
    <phoneticPr fontId="3" type="noConversion"/>
  </si>
  <si>
    <t>Capital Call 3</t>
    <phoneticPr fontId="3" type="noConversion"/>
  </si>
  <si>
    <t>Geomdan</t>
    <phoneticPr fontId="3" type="noConversion"/>
  </si>
  <si>
    <t>Offshore fee (Q2,Q320)</t>
    <phoneticPr fontId="3" type="noConversion"/>
  </si>
  <si>
    <t>남양주</t>
    <phoneticPr fontId="3" type="noConversion"/>
  </si>
  <si>
    <t>up to Sep20</t>
    <phoneticPr fontId="3" type="noConversion"/>
  </si>
  <si>
    <t>가창 upstream</t>
    <phoneticPr fontId="3" type="noConversion"/>
  </si>
  <si>
    <t>Star FS PIC = Share allotment as of  Oct 20</t>
    <phoneticPr fontId="3" type="noConversion"/>
  </si>
  <si>
    <t>Biweekly as of Nov19. 2020</t>
    <phoneticPr fontId="3" type="noConversion"/>
  </si>
  <si>
    <t>capital call 53</t>
    <phoneticPr fontId="3" type="noConversion"/>
  </si>
  <si>
    <t>capital call 51.2</t>
    <phoneticPr fontId="3" type="noConversion"/>
  </si>
  <si>
    <t xml:space="preserve">Gachang Upstream loan </t>
    <phoneticPr fontId="3" type="noConversion"/>
  </si>
  <si>
    <t>Dividend received</t>
    <phoneticPr fontId="3" type="noConversion"/>
  </si>
  <si>
    <t>Capital Call 56</t>
    <phoneticPr fontId="3" type="noConversion"/>
  </si>
  <si>
    <t>Iljuk, Iljuk 2</t>
    <phoneticPr fontId="3" type="noConversion"/>
  </si>
  <si>
    <t>Iljuk 2 (Star 6)</t>
    <phoneticPr fontId="3" type="noConversion"/>
  </si>
  <si>
    <t>Upfront fee</t>
    <phoneticPr fontId="3" type="noConversion"/>
  </si>
  <si>
    <t>Pyeongtaek BIX</t>
    <phoneticPr fontId="3" type="noConversion"/>
  </si>
  <si>
    <t>Turtlerock</t>
    <phoneticPr fontId="3" type="noConversion"/>
  </si>
  <si>
    <t>Capital Call 4</t>
    <phoneticPr fontId="3" type="noConversion"/>
  </si>
  <si>
    <t>Upfront fee</t>
    <phoneticPr fontId="3" type="noConversion"/>
  </si>
  <si>
    <t>Capital Call 57</t>
    <phoneticPr fontId="3" type="noConversion"/>
  </si>
  <si>
    <t>Nansa, Iljuk, Sanha2</t>
    <phoneticPr fontId="3" type="noConversion"/>
  </si>
  <si>
    <t>Offshore fee (Q420)</t>
    <phoneticPr fontId="3" type="noConversion"/>
  </si>
  <si>
    <t>Capital Call 5</t>
    <phoneticPr fontId="3" type="noConversion"/>
  </si>
  <si>
    <t>Geomdan</t>
    <phoneticPr fontId="3" type="noConversion"/>
  </si>
  <si>
    <t>Offshore fee Q420</t>
    <phoneticPr fontId="3" type="noConversion"/>
  </si>
  <si>
    <t>Offshore fee (Q420)</t>
    <phoneticPr fontId="3" type="noConversion"/>
  </si>
  <si>
    <t>Capita Call 58</t>
    <phoneticPr fontId="3" type="noConversion"/>
  </si>
  <si>
    <t>Iljuk 2</t>
    <phoneticPr fontId="3" type="noConversion"/>
  </si>
  <si>
    <t>Capital Call 58</t>
    <phoneticPr fontId="3" type="noConversion"/>
  </si>
  <si>
    <t>Capital Call 59</t>
    <phoneticPr fontId="3" type="noConversion"/>
  </si>
  <si>
    <t xml:space="preserve">Sanha 2, Gimhae </t>
    <phoneticPr fontId="3" type="noConversion"/>
  </si>
  <si>
    <t>Capital call 60</t>
    <phoneticPr fontId="3" type="noConversion"/>
  </si>
  <si>
    <t>Gimhae 3</t>
    <phoneticPr fontId="3" type="noConversion"/>
  </si>
  <si>
    <t>Sanha 2, Gimhae 3</t>
    <phoneticPr fontId="3" type="noConversion"/>
  </si>
  <si>
    <t>Offshore Fee (Q121)</t>
    <phoneticPr fontId="3" type="noConversion"/>
  </si>
  <si>
    <t>PIC as of Feb21</t>
    <phoneticPr fontId="3" type="noConversion"/>
  </si>
  <si>
    <t>Capital call 61</t>
    <phoneticPr fontId="3" type="noConversion"/>
  </si>
  <si>
    <t>Sanha 2</t>
    <phoneticPr fontId="3" type="noConversion"/>
  </si>
  <si>
    <t>Capital call 61</t>
    <phoneticPr fontId="3" type="noConversion"/>
  </si>
  <si>
    <t>Call to Investor (CPPIB/APG)</t>
    <phoneticPr fontId="3" type="noConversion"/>
  </si>
  <si>
    <t>Variance</t>
    <phoneticPr fontId="3" type="noConversion"/>
  </si>
  <si>
    <t>Turtlerock</t>
    <phoneticPr fontId="3" type="noConversion"/>
  </si>
  <si>
    <t>Capital Call 6</t>
    <phoneticPr fontId="3" type="noConversion"/>
  </si>
  <si>
    <t>Pyeongtaek BIX</t>
  </si>
  <si>
    <t>Offshore fee 1H21</t>
    <phoneticPr fontId="3" type="noConversion"/>
  </si>
  <si>
    <t>Capital call 62</t>
    <phoneticPr fontId="3" type="noConversion"/>
  </si>
  <si>
    <t>Offhsore fee (Q221)- Gimhae 3 only</t>
    <phoneticPr fontId="3" type="noConversion"/>
  </si>
  <si>
    <t>Capital reduction</t>
    <phoneticPr fontId="3" type="noConversion"/>
  </si>
  <si>
    <t>Bucheon, B-cold, Gachang, Gimhae Sangdong</t>
    <phoneticPr fontId="3" type="noConversion"/>
  </si>
  <si>
    <t>After capital reduction</t>
    <phoneticPr fontId="3" type="noConversion"/>
  </si>
  <si>
    <t>Before capital reduction</t>
    <phoneticPr fontId="3" type="noConversion"/>
  </si>
  <si>
    <t>Capital call 63</t>
    <phoneticPr fontId="3" type="noConversion"/>
  </si>
  <si>
    <t>Offshore fee (Q2,Q321)</t>
    <phoneticPr fontId="3" type="noConversion"/>
  </si>
  <si>
    <t>Adjustment on offshore fee</t>
  </si>
  <si>
    <t xml:space="preserve">Haeundae </t>
    <phoneticPr fontId="3" type="noConversion"/>
  </si>
  <si>
    <t>Capital Call 7</t>
    <phoneticPr fontId="3" type="noConversion"/>
  </si>
  <si>
    <t>Haeundae</t>
    <phoneticPr fontId="3" type="noConversion"/>
  </si>
  <si>
    <t>2021 Oct</t>
    <phoneticPr fontId="3" type="noConversion"/>
  </si>
  <si>
    <t>Capital call 64</t>
    <phoneticPr fontId="3" type="noConversion"/>
  </si>
  <si>
    <t>Sanha 2, Iljuk 2</t>
    <phoneticPr fontId="3" type="noConversion"/>
  </si>
  <si>
    <t xml:space="preserve">Offshore admin cost </t>
    <phoneticPr fontId="3" type="noConversion"/>
  </si>
  <si>
    <t>Capital call 8</t>
    <phoneticPr fontId="3" type="noConversion"/>
  </si>
  <si>
    <t>offshore fee (Q1-Q321)</t>
    <phoneticPr fontId="3" type="noConversion"/>
  </si>
  <si>
    <t>Capital Call 8</t>
    <phoneticPr fontId="3" type="noConversion"/>
  </si>
  <si>
    <t>Operating cost</t>
    <phoneticPr fontId="3" type="noConversion"/>
  </si>
  <si>
    <t xml:space="preserve">Operating cost </t>
    <phoneticPr fontId="3" type="noConversion"/>
  </si>
  <si>
    <t>Capital call 65</t>
    <phoneticPr fontId="3" type="noConversion"/>
  </si>
  <si>
    <t>Offhsore fee (Q421)</t>
    <phoneticPr fontId="3" type="noConversion"/>
  </si>
  <si>
    <t>Capital call 66</t>
    <phoneticPr fontId="3" type="noConversion"/>
  </si>
  <si>
    <t>East Icheon</t>
    <phoneticPr fontId="3" type="noConversion"/>
  </si>
  <si>
    <t>offshore fee Q421</t>
    <phoneticPr fontId="3" type="noConversion"/>
  </si>
  <si>
    <t>Capital Call 9</t>
    <phoneticPr fontId="3" type="noConversion"/>
  </si>
  <si>
    <t>Capital call 67</t>
    <phoneticPr fontId="3" type="noConversion"/>
  </si>
  <si>
    <t>Sanha 2, Iljuk 2, Gimhae 3</t>
    <phoneticPr fontId="3" type="noConversion"/>
  </si>
  <si>
    <t>Capital Call 10</t>
    <phoneticPr fontId="3" type="noConversion"/>
  </si>
  <si>
    <t>Busan New Port</t>
    <phoneticPr fontId="3" type="noConversion"/>
  </si>
  <si>
    <t>Capital call 68</t>
    <phoneticPr fontId="3" type="noConversion"/>
  </si>
  <si>
    <t>Iljuk 2, Gimhae 3</t>
    <phoneticPr fontId="3" type="noConversion"/>
  </si>
  <si>
    <t>Offhsore fee (Q122)</t>
    <phoneticPr fontId="3" type="noConversion"/>
  </si>
  <si>
    <t>2022 Mar</t>
    <phoneticPr fontId="3" type="noConversion"/>
  </si>
  <si>
    <t>Juksan, Ansung, Gimhae Sangdong, Majang, Sunwood Asset 1, Gimpo, Sunwood Asset 5</t>
    <phoneticPr fontId="3" type="noConversion"/>
  </si>
  <si>
    <t>B-cold</t>
    <phoneticPr fontId="3" type="noConversion"/>
  </si>
  <si>
    <t>2022 May</t>
    <phoneticPr fontId="3" type="noConversion"/>
  </si>
  <si>
    <t>Capital call 11</t>
    <phoneticPr fontId="3" type="noConversion"/>
  </si>
  <si>
    <t>New Port</t>
    <phoneticPr fontId="3" type="noConversion"/>
  </si>
  <si>
    <t>New port</t>
    <phoneticPr fontId="3" type="noConversion"/>
  </si>
  <si>
    <t>capital call 10</t>
    <phoneticPr fontId="3" type="noConversion"/>
  </si>
  <si>
    <t>Capital call 12</t>
    <phoneticPr fontId="3" type="noConversion"/>
  </si>
  <si>
    <t>Offshore fee Q122</t>
    <phoneticPr fontId="3" type="noConversion"/>
  </si>
  <si>
    <t>Offshore fee adjustment</t>
    <phoneticPr fontId="3" type="noConversion"/>
  </si>
  <si>
    <t xml:space="preserve">Capital call 69 </t>
    <phoneticPr fontId="3" type="noConversion"/>
  </si>
  <si>
    <t xml:space="preserve">Iljuk 2, Opo 3 </t>
    <phoneticPr fontId="3" type="noConversion"/>
  </si>
  <si>
    <t>2021 Dec</t>
    <phoneticPr fontId="3" type="noConversion"/>
  </si>
  <si>
    <t xml:space="preserve">Bucheon </t>
    <phoneticPr fontId="3" type="noConversion"/>
  </si>
  <si>
    <t>Capital call 70</t>
    <phoneticPr fontId="3" type="noConversion"/>
  </si>
  <si>
    <t>Gimhae 3, Iljuk 2</t>
    <phoneticPr fontId="3" type="noConversion"/>
  </si>
  <si>
    <t>Offhsore fee (Q421) 3월</t>
    <phoneticPr fontId="3" type="noConversion"/>
  </si>
  <si>
    <t>Offshore admin cost</t>
    <phoneticPr fontId="3" type="noConversion"/>
  </si>
  <si>
    <t>Capital call 71</t>
    <phoneticPr fontId="3" type="noConversion"/>
  </si>
  <si>
    <t>Offshore fee (Q222)</t>
    <phoneticPr fontId="3" type="noConversion"/>
  </si>
  <si>
    <t>Capital call 72</t>
    <phoneticPr fontId="3" type="noConversion"/>
  </si>
  <si>
    <t>Capital call 73</t>
    <phoneticPr fontId="3" type="noConversion"/>
  </si>
  <si>
    <t>Gimhae3, Iljuk2</t>
    <phoneticPr fontId="3" type="noConversion"/>
  </si>
  <si>
    <t>Offshore fee (Q322)</t>
    <phoneticPr fontId="3" type="noConversion"/>
  </si>
  <si>
    <t>Capital call 74</t>
    <phoneticPr fontId="3" type="noConversion"/>
  </si>
  <si>
    <t>Sanha2, Gimhae3, Iljuk2</t>
    <phoneticPr fontId="3" type="noConversion"/>
  </si>
  <si>
    <t>Capital call 75</t>
    <phoneticPr fontId="3" type="noConversion"/>
  </si>
  <si>
    <t>Opo 3</t>
    <phoneticPr fontId="3" type="noConversion"/>
  </si>
  <si>
    <t>Capital call 76</t>
  </si>
  <si>
    <t>Capital call 76</t>
    <phoneticPr fontId="3" type="noConversion"/>
  </si>
  <si>
    <t>Iljuk2</t>
  </si>
  <si>
    <t>Iljuk2</t>
    <phoneticPr fontId="3" type="noConversion"/>
  </si>
  <si>
    <t>Capital call 77</t>
  </si>
  <si>
    <t>Capital call 77</t>
    <phoneticPr fontId="3" type="noConversion"/>
  </si>
  <si>
    <t>Capital call 78</t>
  </si>
  <si>
    <t>Capital call 78</t>
    <phoneticPr fontId="3" type="noConversion"/>
  </si>
  <si>
    <t>Opo 3</t>
  </si>
  <si>
    <t>Offshore Admin Cost (Q2 22~Q4 22)</t>
  </si>
  <si>
    <t>Offshore Management Fee (Q2 22~Q4 22)</t>
  </si>
  <si>
    <t>Capital call 13</t>
  </si>
  <si>
    <t>Capital call 13</t>
    <phoneticPr fontId="3" type="noConversion"/>
  </si>
  <si>
    <t>Offshore fee from Q222~Q422</t>
    <phoneticPr fontId="3" type="noConversion"/>
  </si>
  <si>
    <t>Sanha2 Project (Land Costs + CM costs + on-shore admin cost + on-shore mgmt fee)</t>
  </si>
  <si>
    <t>Sanha2 Project (Land Costs + CM costs + on-shore admin cost + on-shore mgmt fee)</t>
    <phoneticPr fontId="3" type="noConversion"/>
  </si>
  <si>
    <t xml:space="preserve"> Sunwood Nava Admin cost</t>
    <phoneticPr fontId="3" type="noConversion"/>
  </si>
  <si>
    <t>Capital call 79</t>
    <phoneticPr fontId="3" type="noConversion"/>
  </si>
  <si>
    <t>Capital call 14</t>
    <phoneticPr fontId="3" type="noConversion"/>
  </si>
  <si>
    <t>New port</t>
  </si>
  <si>
    <t>Capital Call 14</t>
    <phoneticPr fontId="3" type="noConversion"/>
  </si>
  <si>
    <t>Capital call 15</t>
    <phoneticPr fontId="3" type="noConversion"/>
  </si>
  <si>
    <t>Capital call 16</t>
    <phoneticPr fontId="3" type="noConversion"/>
  </si>
  <si>
    <t>Offshore fee for Q123</t>
  </si>
  <si>
    <t>Offshore fee for Q123</t>
    <phoneticPr fontId="3" type="noConversion"/>
  </si>
  <si>
    <t>Capital call 80</t>
    <phoneticPr fontId="3" type="noConversion"/>
  </si>
  <si>
    <t>Offshore Admin Cost up to Jun-23</t>
  </si>
  <si>
    <t>Offshore Admin Cost up to Jun-23</t>
    <phoneticPr fontId="3" type="noConversion"/>
  </si>
  <si>
    <t>Offshore Management Fee for Q1-23</t>
  </si>
  <si>
    <t>Sanha 2 Project (Civil Work, CM, General)</t>
  </si>
  <si>
    <t>Sanha 2 Project (Civil Work, CM, General)</t>
    <phoneticPr fontId="3" type="noConversion"/>
  </si>
  <si>
    <t>Capital call 17</t>
  </si>
  <si>
    <t>Capital call 17</t>
    <phoneticPr fontId="3" type="noConversion"/>
  </si>
  <si>
    <t>Capital call 81</t>
    <phoneticPr fontId="3" type="noConversion"/>
  </si>
  <si>
    <t>Sanha 2 Project (Civil Work, CM, Architectural Design Service)</t>
  </si>
  <si>
    <t>Sanha 2 Project (Civil Work, CM, Architectural Design Service)</t>
    <phoneticPr fontId="3" type="noConversion"/>
  </si>
  <si>
    <t>Sanha 2 Admin cost and Management fees</t>
  </si>
  <si>
    <t>Sanha 2 Admin cost and Management fees</t>
    <phoneticPr fontId="3" type="noConversion"/>
  </si>
  <si>
    <t>Iljuk 2 Management fees</t>
  </si>
  <si>
    <t>Iljuk 2 Management fees</t>
    <phoneticPr fontId="3" type="noConversion"/>
  </si>
  <si>
    <t>Opo Admin cost and Management fees</t>
  </si>
  <si>
    <t>Opo Admin cost and Management fees</t>
    <phoneticPr fontId="3" type="noConversion"/>
  </si>
  <si>
    <t>Gimhae3 Management fees</t>
  </si>
  <si>
    <t>Gimhae3 Management fees</t>
    <phoneticPr fontId="3" type="noConversion"/>
  </si>
  <si>
    <t>Capital call 18</t>
    <phoneticPr fontId="3" type="noConversion"/>
  </si>
  <si>
    <t>New port project (Land reclamation, CM)</t>
  </si>
  <si>
    <t>New port project (Land reclamation, CM)</t>
    <phoneticPr fontId="3" type="noConversion"/>
  </si>
  <si>
    <t>New port (Land reclamation)</t>
    <phoneticPr fontId="3" type="noConversion"/>
  </si>
  <si>
    <t>Haeundae project (Demolition Work)</t>
  </si>
  <si>
    <t>Haeundae project (Demolition Work)</t>
    <phoneticPr fontId="3" type="noConversion"/>
  </si>
  <si>
    <t>Haeundae Management fees</t>
  </si>
  <si>
    <t>Haeundae Management fees</t>
    <phoneticPr fontId="3" type="noConversion"/>
  </si>
  <si>
    <t>New port Management fees</t>
  </si>
  <si>
    <t>New port Management fees</t>
    <phoneticPr fontId="3" type="noConversion"/>
  </si>
  <si>
    <t>Pyeongtaek BIX Management fees</t>
  </si>
  <si>
    <t>Pyeongtaek BIX Management fees</t>
    <phoneticPr fontId="3" type="noConversion"/>
  </si>
  <si>
    <t xml:space="preserve">Onshore Management Fee </t>
  </si>
  <si>
    <t xml:space="preserve">Onshore Management Fee </t>
    <phoneticPr fontId="3" type="noConversion"/>
  </si>
  <si>
    <t>Offshore Management Fee</t>
    <phoneticPr fontId="3" type="noConversion"/>
  </si>
  <si>
    <t>Sanha 2</t>
  </si>
  <si>
    <t>Capital Call 82</t>
    <phoneticPr fontId="3" type="noConversion"/>
  </si>
  <si>
    <t>Sanha2 Project (Civil Works)</t>
  </si>
  <si>
    <t>Sanha2 Project (Civil Works)</t>
    <phoneticPr fontId="3" type="noConversion"/>
  </si>
  <si>
    <t>Capital call 82</t>
    <phoneticPr fontId="3" type="noConversion"/>
  </si>
  <si>
    <t>Capital call 19</t>
    <phoneticPr fontId="3" type="noConversion"/>
  </si>
  <si>
    <t>Haeundae project (Demolition Work, CM)</t>
  </si>
  <si>
    <t>Haeundae project (Demolition Work, CM)</t>
    <phoneticPr fontId="3" type="noConversion"/>
  </si>
  <si>
    <t>Capital Call 83</t>
    <phoneticPr fontId="3" type="noConversion"/>
  </si>
  <si>
    <t>Sanha2</t>
    <phoneticPr fontId="3" type="noConversion"/>
  </si>
  <si>
    <t>Iljuk2 Project(Admin Cost, Legal fees)</t>
  </si>
  <si>
    <t>Iljuk2 Project(Admin Cost, Legal fees)</t>
    <phoneticPr fontId="3" type="noConversion"/>
  </si>
  <si>
    <t>Capital call 83</t>
    <phoneticPr fontId="3" type="noConversion"/>
  </si>
  <si>
    <t>Capital call 20</t>
  </si>
  <si>
    <t>Capital call 20</t>
    <phoneticPr fontId="3" type="noConversion"/>
  </si>
  <si>
    <t>Busan New Port (Construction Management)</t>
  </si>
  <si>
    <t>Busan New Port (Construction Management)</t>
    <phoneticPr fontId="3" type="noConversion"/>
  </si>
  <si>
    <t>Capital call 21</t>
  </si>
  <si>
    <t>Capital call 21</t>
    <phoneticPr fontId="3" type="noConversion"/>
  </si>
  <si>
    <t>Busan New Port (Land reclamation work)</t>
  </si>
  <si>
    <t>Busan New Port (Land reclamation work)</t>
    <phoneticPr fontId="3" type="noConversion"/>
  </si>
  <si>
    <t>8월</t>
    <phoneticPr fontId="3" type="noConversion"/>
  </si>
  <si>
    <t>9월</t>
    <phoneticPr fontId="3" type="noConversion"/>
  </si>
  <si>
    <t>10월</t>
    <phoneticPr fontId="3" type="noConversion"/>
  </si>
  <si>
    <t>Gimhae3</t>
    <phoneticPr fontId="3" type="noConversion"/>
  </si>
  <si>
    <t>11월</t>
    <phoneticPr fontId="3" type="noConversion"/>
  </si>
  <si>
    <t>12월</t>
    <phoneticPr fontId="3" type="noConversion"/>
  </si>
  <si>
    <t>Pyeongta다</t>
    <phoneticPr fontId="3" type="noConversion"/>
  </si>
  <si>
    <t>Capital Call 84</t>
  </si>
  <si>
    <t>Capital Call 84</t>
    <phoneticPr fontId="3" type="noConversion"/>
  </si>
  <si>
    <t>Opo3</t>
    <phoneticPr fontId="3" type="noConversion"/>
  </si>
  <si>
    <t>Capital call 22</t>
  </si>
  <si>
    <t>Busan New Port (Offshore Management fee)</t>
    <phoneticPr fontId="3" type="noConversion"/>
  </si>
  <si>
    <t>Haeundae (Offshore Manaagement fee)</t>
    <phoneticPr fontId="3" type="noConversion"/>
  </si>
  <si>
    <t>Capital call 23</t>
  </si>
  <si>
    <t>Capital call 23</t>
    <phoneticPr fontId="3" type="noConversion"/>
  </si>
  <si>
    <t>Busan New Port (Land reclamation work, Environmental Impact Assessment)</t>
  </si>
  <si>
    <t>Busan New Port (Land reclamation work, Environmental Impact Assessment)</t>
    <phoneticPr fontId="3" type="noConversion"/>
  </si>
  <si>
    <t>Dangmok Holding</t>
    <phoneticPr fontId="3" type="noConversion"/>
  </si>
  <si>
    <t>Capital Call #1</t>
  </si>
  <si>
    <t>Capital Call #1</t>
    <phoneticPr fontId="3" type="noConversion"/>
  </si>
  <si>
    <t>Civil Works, PF Loan Upfront Fee, Acq DD Cost, Legal Fee, Admin Exp, Land Acq Fee, AM Fee</t>
  </si>
  <si>
    <t>Civil Works, PF Loan Upfront Fee, Acq DD Cost, Legal Fee, Admin Exp, Land Acq Fee, AM Fee</t>
    <phoneticPr fontId="3" type="noConversion"/>
  </si>
  <si>
    <t>Offshore) Legal Fees, AM Fee, DM Fee</t>
  </si>
  <si>
    <t>Offshore) Legal Fees, AM Fee, DM Fee</t>
    <phoneticPr fontId="3" type="noConversion"/>
  </si>
  <si>
    <t>Sanha 2 (Star 3)</t>
  </si>
  <si>
    <t>Gimhae 3 (star 4)</t>
  </si>
  <si>
    <t>Iljuk 2 (Star 6)</t>
  </si>
  <si>
    <t>Civil Works</t>
    <phoneticPr fontId="3" type="noConversion"/>
  </si>
  <si>
    <t>Capital Call #2</t>
    <phoneticPr fontId="3" type="noConversion"/>
  </si>
  <si>
    <t>Civil Works, PF Loan Upfront Fee, Acq DD Cost, Admin Exp, AM Fee</t>
  </si>
  <si>
    <t>Civil Works, PF Loan Upfront Fee, Acq DD Cost, Admin Exp, AM Fee</t>
    <phoneticPr fontId="3" type="noConversion"/>
  </si>
  <si>
    <t>Offshore) AM Fee</t>
  </si>
  <si>
    <t>Offshore) AM Fee</t>
    <phoneticPr fontId="3" type="noConversion"/>
  </si>
  <si>
    <t>Capital call 24</t>
  </si>
  <si>
    <t>Capital call 24</t>
    <phoneticPr fontId="3" type="noConversion"/>
  </si>
  <si>
    <t>Busan New Port (Land reclamation work, Construction Management)</t>
  </si>
  <si>
    <t>Busan New Port (Land reclamation work, Construction Management)</t>
    <phoneticPr fontId="3" type="noConversion"/>
  </si>
  <si>
    <t>Haeundae (Architectural Design Service, CM, Admin exp)</t>
  </si>
  <si>
    <t>Haeundae (Architectural Design Service, CM, Admin exp)</t>
    <phoneticPr fontId="3" type="noConversion"/>
  </si>
  <si>
    <t>Offshore fee for Q423</t>
  </si>
  <si>
    <t>Offshore fee for Q423</t>
    <phoneticPr fontId="3" type="noConversion"/>
  </si>
  <si>
    <t>Construction Installment, Architectural Design Service, Financing Cost</t>
  </si>
  <si>
    <t>Construction Installment, Architectural Design Service, Financing Cost</t>
    <phoneticPr fontId="3" type="noConversion"/>
  </si>
  <si>
    <t>Offshore Mgmt Fee</t>
  </si>
  <si>
    <t>Offshore Mgmt Fee</t>
    <phoneticPr fontId="3" type="noConversion"/>
  </si>
  <si>
    <t>Capital Call #3</t>
    <phoneticPr fontId="3" type="noConversion"/>
  </si>
  <si>
    <t>Civil Works, Construction Management, Architectural Design Service, PF loan interest, Admin cost</t>
    <phoneticPr fontId="3" type="noConversion"/>
  </si>
  <si>
    <t>Capital call 25</t>
  </si>
  <si>
    <t>Offshore fee for Q124</t>
  </si>
  <si>
    <t>Offshore fee for Q124</t>
    <phoneticPr fontId="3" type="noConversion"/>
  </si>
  <si>
    <t>Haeundae (PF upfront fee, Construction Management)</t>
    <phoneticPr fontId="3" type="noConversion"/>
  </si>
  <si>
    <t>Capital call 26</t>
  </si>
  <si>
    <t>Capital call 26</t>
    <phoneticPr fontId="3" type="noConversion"/>
  </si>
  <si>
    <t>Capital call 27</t>
  </si>
  <si>
    <t>Capital call 27</t>
    <phoneticPr fontId="3" type="noConversion"/>
  </si>
  <si>
    <t>Busan New Port (Land reclamation work, Construction Management)</t>
    <phoneticPr fontId="3" type="noConversion"/>
  </si>
  <si>
    <t>Offshore fee for Q2 24</t>
  </si>
  <si>
    <t>Offshore fee for Q2 24</t>
    <phoneticPr fontId="3" type="noConversion"/>
  </si>
  <si>
    <t>Capital Call #4</t>
    <phoneticPr fontId="3" type="noConversion"/>
  </si>
  <si>
    <t>Civil Works, CM, AM Fee, PF loan, Admin Cost, Legal expense</t>
    <phoneticPr fontId="3" type="noConversion"/>
  </si>
  <si>
    <t>Sunwood Byul</t>
    <phoneticPr fontId="3" type="noConversion"/>
  </si>
  <si>
    <t>Offshore Mgmt Fee, Byul Set up Cost</t>
  </si>
  <si>
    <t>Offshore Mgmt Fee, Byul Set up Cost</t>
    <phoneticPr fontId="3" type="noConversion"/>
  </si>
  <si>
    <t>Capital call 28</t>
    <phoneticPr fontId="3" type="noConversion"/>
  </si>
  <si>
    <t>Civil Works, Construction Management, Architecture Design Service, PF loan interest, Admin cost</t>
  </si>
  <si>
    <t>Civil Works, Construction Management, Architecture Design Service, PF loan interest, Admin cost</t>
    <phoneticPr fontId="3" type="noConversion"/>
  </si>
  <si>
    <t>Capital Call #5</t>
    <phoneticPr fontId="3" type="noConversion"/>
  </si>
  <si>
    <t>Civil Works, Architectural Design Service, Land Property Tax, CM, Admin costs, Offshore fee</t>
  </si>
  <si>
    <t>Civil Works, Architectural Design Service, Land Property Tax, CM, Admin costs, Offshore fee</t>
    <phoneticPr fontId="3" type="noConversion"/>
  </si>
  <si>
    <t>Capital call 29</t>
  </si>
  <si>
    <t>Capital call 29</t>
    <phoneticPr fontId="3" type="noConversion"/>
  </si>
  <si>
    <t>Busan New Port (Land reclamation work, CM, offshore fee)</t>
    <phoneticPr fontId="3" type="noConversion"/>
  </si>
  <si>
    <t>Haeundae offshore fee</t>
  </si>
  <si>
    <t>Haeundae offshore fee</t>
    <phoneticPr fontId="3" type="noConversion"/>
  </si>
  <si>
    <t>Byul</t>
    <phoneticPr fontId="3" type="noConversion"/>
  </si>
  <si>
    <t>Dangmok</t>
    <phoneticPr fontId="3" type="noConversion"/>
  </si>
  <si>
    <t>Capital Call #6</t>
    <phoneticPr fontId="3" type="noConversion"/>
  </si>
  <si>
    <t>Construction Installment, PF loan interest AM Fee, DM Fee</t>
    <phoneticPr fontId="3" type="noConversion"/>
  </si>
  <si>
    <t>Offshore Mgmt Fee and Admin cost (Sanha2, Iljuk2)</t>
  </si>
  <si>
    <t>Offshore Mgmt Fee and Admin cost (Sanha2, Iljuk2)</t>
    <phoneticPr fontId="3" type="noConversion"/>
  </si>
  <si>
    <t>Capital Call #7</t>
  </si>
  <si>
    <t>Capital Call #7</t>
    <phoneticPr fontId="3" type="noConversion"/>
  </si>
  <si>
    <t>Construction Installment, Construction Management, Admin Cost</t>
  </si>
  <si>
    <t>Construction Installment, Construction Management, Admin Cost</t>
    <phoneticPr fontId="3" type="noConversion"/>
  </si>
  <si>
    <t>Capital call 30</t>
  </si>
  <si>
    <t>Capital call 30</t>
    <phoneticPr fontId="3" type="noConversion"/>
  </si>
  <si>
    <t>Gamjeong, New Port, Haeundae</t>
  </si>
  <si>
    <t>Gamjeong, New Port, Haeundae</t>
    <phoneticPr fontId="3" type="noConversion"/>
  </si>
  <si>
    <t>Gamjeong</t>
    <phoneticPr fontId="3" type="noConversion"/>
  </si>
  <si>
    <t>Capital call 31</t>
  </si>
  <si>
    <t>Capital call 31</t>
    <phoneticPr fontId="3" type="noConversion"/>
  </si>
  <si>
    <t>Capital Call #8</t>
    <phoneticPr fontId="3" type="noConversion"/>
  </si>
  <si>
    <t>AM Fee, DM Fee for Q1 2025</t>
    <phoneticPr fontId="3" type="noConversion"/>
  </si>
  <si>
    <t>Sunwood Star에서 누적 콜 금액</t>
    <phoneticPr fontId="3" type="noConversion"/>
  </si>
  <si>
    <t/>
  </si>
  <si>
    <t>754억 uw</t>
    <phoneticPr fontId="3" type="noConversion"/>
  </si>
  <si>
    <t>Capital call 32</t>
    <phoneticPr fontId="3" type="noConversion"/>
  </si>
  <si>
    <t>Capital call 33</t>
    <phoneticPr fontId="3" type="noConversion"/>
  </si>
  <si>
    <t>Capital Call #9</t>
    <phoneticPr fontId="3" type="noConversion"/>
  </si>
  <si>
    <t>AM Fee, DM Fee for Q3 2025</t>
    <phoneticPr fontId="3" type="noConversion"/>
  </si>
  <si>
    <t>Capital call 34</t>
    <phoneticPr fontId="3" type="noConversion"/>
  </si>
  <si>
    <t>Capital call 35</t>
    <phoneticPr fontId="3" type="noConversion"/>
  </si>
  <si>
    <t>Offshore Mgmt Fee (Iljuk2)</t>
    <phoneticPr fontId="3" type="noConversion"/>
  </si>
  <si>
    <t>YTD Dec</t>
    <phoneticPr fontId="3" type="noConversion"/>
  </si>
  <si>
    <t>Gamjeong (Land Cost, Onshore DM Fee)</t>
    <phoneticPr fontId="3" type="noConversion"/>
  </si>
  <si>
    <t>Capital call 36</t>
    <phoneticPr fontId="3" type="noConversion"/>
  </si>
  <si>
    <t>Capital call 37</t>
    <phoneticPr fontId="3" type="noConversion"/>
  </si>
  <si>
    <t>Development Activity Planning Permit, Pre-construction Levies, Admin Cost (Sanha2)</t>
    <phoneticPr fontId="3" type="noConversion"/>
  </si>
  <si>
    <t>Capital call 38</t>
    <phoneticPr fontId="3" type="noConversion"/>
  </si>
  <si>
    <t>Capital call 39</t>
    <phoneticPr fontId="3" type="noConversion"/>
  </si>
  <si>
    <t>New port (Land reclamation), Gamjeong (Land Cost, Architectural Design Service)</t>
    <phoneticPr fontId="3" type="noConversion"/>
  </si>
  <si>
    <t>JV2 offshore fee</t>
    <phoneticPr fontId="3" type="noConversion"/>
  </si>
  <si>
    <t>Sanha2, Gimhae3, Sunwood Byul Admin Cost and GST</t>
    <phoneticPr fontId="3" type="noConversion"/>
  </si>
  <si>
    <t>Capital Call #10</t>
    <phoneticPr fontId="3" type="noConversion"/>
  </si>
  <si>
    <t>AM Fee, DM Fee for Q4 2025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</si>
</sst>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3">
    <numFmt numFmtId="8" formatCode="&quot;₩&quot;#,##0.00;[Red]\-&quot;₩&quot;#,##0.00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25" formatCode="\$#,##0.00_);\(\$#,##0.00\)"/>
    <numFmt numFmtId="176" formatCode="&quot;$&quot;#,##0_);\(&quot;$&quot;#,##0\)"/>
    <numFmt numFmtId="177" formatCode="&quot;$&quot;#,##0_);[Red]\(&quot;$&quot;#,##0\)"/>
    <numFmt numFmtId="178" formatCode="&quot;$&quot;#,##0.00_);\(&quot;$&quot;#,##0.00\)"/>
    <numFmt numFmtId="179" formatCode="&quot;$&quot;#,##0.00_);[Red]\(&quot;$&quot;#,##0.00\)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_(* #,##0.00_);_(* \(#,##0.00\);_(* &quot;-&quot;??_);_(@_)"/>
    <numFmt numFmtId="183" formatCode="#,###;[Red]\(#,###\);\-"/>
    <numFmt numFmtId="184" formatCode="_ * #,##0.00_ ;_ * \-#,##0.00_ ;_ * &quot;-&quot;??_ ;_ @_ "/>
    <numFmt numFmtId="185" formatCode="[$-409]mmm/yy;@"/>
    <numFmt numFmtId="186" formatCode="_-* #,##0.00_-;\-* #,##0.00_-;_-* &quot;-&quot;_-;_-@_-"/>
    <numFmt numFmtId="187" formatCode="_-* #,##0.0_-;\-* #,##0.0_-;_-* &quot;-&quot;_-;_-@_-"/>
    <numFmt numFmtId="188" formatCode="_-* #,##0.0000_-;\-* #,##0.0000_-;_-* &quot;-&quot;_-;_-@_-"/>
    <numFmt numFmtId="189" formatCode="#,##0.00_ "/>
    <numFmt numFmtId="190" formatCode="_ &quot;¥&quot;* #,##0_ ;_ &quot;¥&quot;* \-#,##0_ ;_ &quot;¥&quot;* &quot;-&quot;_ ;_ @_ "/>
    <numFmt numFmtId="191" formatCode="_ * #,##0_ ;_ * \-#,##0_ ;_ * &quot;-&quot;_ ;_ @_ "/>
    <numFmt numFmtId="192" formatCode="_ &quot;¥&quot;* #,##0.00_ ;_ &quot;¥&quot;* \-#,##0.00_ ;_ &quot;¥&quot;* &quot;-&quot;??_ ;_ @_ "/>
    <numFmt numFmtId="193" formatCode="_(* #,##0.0_);_(* \(#,##0.0\);_(* &quot;-&quot;??_);_(@_)"/>
    <numFmt numFmtId="194" formatCode="#,##0.0\ ;\(#,##0.0\)"/>
    <numFmt numFmtId="195" formatCode="#,##0.0;\(#,##0.0\)"/>
    <numFmt numFmtId="196" formatCode="_-* #,##0_-;\-* #,##0_-;_-* &quot;-&quot;??_-;_-@_-"/>
    <numFmt numFmtId="197" formatCode="#,##0.0;\-#,##0.0"/>
    <numFmt numFmtId="198" formatCode="#,##0\ \ ;\(#,##0\)\ "/>
    <numFmt numFmtId="199" formatCode=";;;"/>
    <numFmt numFmtId="200" formatCode="&quot;₩&quot;#,##0.00;[Red]&quot;₩&quot;\-#,##0.00"/>
    <numFmt numFmtId="201" formatCode="0.0_)\%;\(0.0\)\%;0.0_)\%;@_)_%"/>
    <numFmt numFmtId="202" formatCode="#,##0.0_)_%;\(#,##0.0\)_%;0.0_)_%;@_)_%"/>
    <numFmt numFmtId="203" formatCode="#,##0.0_);\(#,##0.0\)"/>
    <numFmt numFmtId="204" formatCode="#,##0.0_);\(#,##0.0\);#,##0.0_);@_)"/>
    <numFmt numFmtId="205" formatCode="&quot;$&quot;_(#,##0.00_);&quot;$&quot;\(#,##0.00\)"/>
    <numFmt numFmtId="206" formatCode="&quot;$&quot;_(#,##0.00_);&quot;$&quot;\(#,##0.00\);&quot;$&quot;_(0.00_);@_)"/>
    <numFmt numFmtId="207" formatCode="&quot;¥&quot;_(#,##0.00_);&quot;¥&quot;\(#,##0.00\);&quot;¥&quot;_(0.00_);@_)"/>
    <numFmt numFmtId="208" formatCode="#,##0.00_);\(#,##0.00\);0.00_);@_)"/>
    <numFmt numFmtId="209" formatCode="&quot;€&quot;_(#,##0.00_);&quot;€&quot;\(#,##0.00\);&quot;€&quot;_(0.00_);@_)"/>
    <numFmt numFmtId="210" formatCode="#,##0.0_)\x;\(#,##0.0\)\x"/>
    <numFmt numFmtId="211" formatCode="#,##0_)\x;\(#,##0\)\x;0_)\x;@_)_x"/>
    <numFmt numFmtId="212" formatCode="#,##0.00;\(#,##0.00\)"/>
    <numFmt numFmtId="213" formatCode="#,##0.0_)_x;\(#,##0.0\)_x"/>
    <numFmt numFmtId="214" formatCode="#,##0_)_x;\(#,##0\)_x;0_)_x;@_)_x"/>
    <numFmt numFmtId="215" formatCode="0.0_)\%;\(0.0\)\%"/>
    <numFmt numFmtId="216" formatCode="0.0\x"/>
    <numFmt numFmtId="217" formatCode="#,##0.0_)_%;\(#,##0.0\)_%"/>
    <numFmt numFmtId="218" formatCode="0.00\x"/>
    <numFmt numFmtId="219" formatCode="_-#,##0_-;\(#,##0\);_-\ \ &quot;-&quot;_-;_-@_-"/>
    <numFmt numFmtId="220" formatCode="_-#,##0.00_-;\(#,##0.00\);_-\ \ &quot;-&quot;_-;_-@_-"/>
    <numFmt numFmtId="221" formatCode="mmm/dd/yyyy;_-\ &quot;N/A&quot;_-;_-\ &quot;-&quot;_-"/>
    <numFmt numFmtId="222" formatCode="mmm/yyyy;_-\ &quot;N/A&quot;_-;_-\ &quot;-&quot;_-"/>
    <numFmt numFmtId="223" formatCode="_-#,##0%_-;\(#,##0%\);_-\ &quot;-&quot;_-"/>
    <numFmt numFmtId="224" formatCode="_-#,###,_-;\(#,###,\);_-\ \ &quot;-&quot;_-;_-@_-"/>
    <numFmt numFmtId="225" formatCode="_-#,###.00,_-;\(#,###.00,\);_-\ \ &quot;-&quot;_-;_-@_-"/>
    <numFmt numFmtId="226" formatCode="_-#0&quot;.&quot;0,_-;\(#0&quot;.&quot;0,\);_-\ \ &quot;-&quot;_-;_-@_-"/>
    <numFmt numFmtId="227" formatCode="_-#0&quot;.&quot;0000_-;\(#0&quot;.&quot;0000\);_-\ \ &quot;-&quot;_-;_-@_-"/>
    <numFmt numFmtId="228" formatCode="\£\ #,##0_);[Red]\(\£\ #,##0\)"/>
    <numFmt numFmtId="229" formatCode="_(&quot;£&quot;* #,##0_);_(&quot;£&quot;* \(#,##0\);_(&quot;£&quot;* &quot;-&quot;_);_(@_)"/>
    <numFmt numFmtId="230" formatCode="_(&quot;£&quot;* #,##0.00_);_(&quot;£&quot;* \(#,##0.00\);_(&quot;£&quot;* &quot;-&quot;??_);_(@_)"/>
    <numFmt numFmtId="231" formatCode="#,##0;\(#,##0\)"/>
    <numFmt numFmtId="232" formatCode="\¥\ #,##0_);[Red]\(\¥\ #,##0\)"/>
    <numFmt numFmtId="233" formatCode="&quot;$&quot;#,##0.00;[Red]\-&quot;$&quot;#,##0.00"/>
    <numFmt numFmtId="234" formatCode="0.0"/>
    <numFmt numFmtId="235" formatCode="0.0%"/>
    <numFmt numFmtId="236" formatCode="0_)"/>
    <numFmt numFmtId="237" formatCode="#,##0\ "/>
    <numFmt numFmtId="238" formatCode="0_);[Red]\(0\)"/>
    <numFmt numFmtId="239" formatCode="#,##0.0"/>
    <numFmt numFmtId="240" formatCode="0.0%;\(0.0%\)"/>
    <numFmt numFmtId="241" formatCode="_(* #,##0_);_(* \(#,##0\);_(* &quot;-&quot;??_);_(@_)"/>
    <numFmt numFmtId="242" formatCode="General_)"/>
    <numFmt numFmtId="243" formatCode="&quot;$&quot;#,##0.000_%_);\(&quot;$&quot;#,##0.000\)_%;&quot;$&quot;#,##0.000_%_);@_%_)"/>
    <numFmt numFmtId="244" formatCode="_(* #,##0.0_);_(* \(#,##0.0\);_(* &quot;-&quot;?_);@_)"/>
    <numFmt numFmtId="245" formatCode="\•\ \ @"/>
    <numFmt numFmtId="246" formatCode="&quot;£&quot;#,##0.00_);\(&quot;£&quot;#,##0.00\)"/>
    <numFmt numFmtId="247" formatCode="&quot;£&quot;#,##0_);\(&quot;£&quot;#,##0\)"/>
    <numFmt numFmtId="248" formatCode="&quot;£&quot;#,##0_);[Red]\(&quot;£&quot;#,##0\)"/>
    <numFmt numFmtId="249" formatCode="&quot;$&quot;#,##0.00_);[Red]&quot;₩&quot;&quot;₩&quot;&quot;₩&quot;\(&quot;$&quot;#,##0.00&quot;₩&quot;&quot;₩&quot;&quot;₩&quot;\)"/>
    <numFmt numFmtId="250" formatCode="&quot;$&quot;#,##0_);[Red]&quot;₩&quot;&quot;₩&quot;&quot;₩&quot;\(&quot;$&quot;#,##0&quot;₩&quot;&quot;₩&quot;&quot;₩&quot;\)"/>
    <numFmt numFmtId="251" formatCode="_-&quot;$&quot;* #,##0.00_-;&quot;₩&quot;&quot;₩&quot;&quot;₩&quot;\-&quot;$&quot;* #,##0.00_-;_-&quot;$&quot;* &quot;-&quot;??_-;_-@_-"/>
    <numFmt numFmtId="252" formatCode="&quot;$&quot;#,##0.0_);\(&quot;$&quot;#,##0.0\)"/>
    <numFmt numFmtId="253" formatCode="0.00000000000"/>
    <numFmt numFmtId="254" formatCode="0.000000000000"/>
    <numFmt numFmtId="255" formatCode="[$$]#,##0.00_);\([$$]#,##0.00\);[$$]#,##0.00_);@_)"/>
    <numFmt numFmtId="256" formatCode="0.000_)"/>
    <numFmt numFmtId="257" formatCode="&quot;$&quot;#,##0.00_%_);\(&quot;$&quot;#,##0.00\)_%;&quot;$&quot;#,##0.00_%_);@_%_)"/>
    <numFmt numFmtId="258" formatCode="#,##0_%_);\(#,##0\)_%;#,##0_%_);@_%_)"/>
    <numFmt numFmtId="259" formatCode="&quot;$&quot;#,##0.000_);[Red]\(&quot;$&quot;#,##0.000\)"/>
    <numFmt numFmtId="260" formatCode="&quot;$&quot;#,##0.00;\-&quot;$&quot;#,##0.00"/>
    <numFmt numFmtId="261" formatCode="#,##0."/>
    <numFmt numFmtId="262" formatCode="#,##0.0_%_);\(#,##0.0\)_%;#,##0.0_%_);@_%_)"/>
    <numFmt numFmtId="263" formatCode="0.00_);\(0.00\);0.00"/>
    <numFmt numFmtId="264" formatCode="[$$]#,##0.0_);\([$$]#,##0.0\);[$$]#,##0.0_);@_)"/>
    <numFmt numFmtId="265" formatCode="&quot;$&quot;#,##0.0;\(&quot;$&quot;#,##0.0\);&quot;$&quot;#,##0.0"/>
    <numFmt numFmtId="266" formatCode="#,##0.000000_%_);\(#,##0.000000\)_%;#,##0.000000_%_);@_%_)"/>
    <numFmt numFmtId="267" formatCode="&quot;$&quot;#,##0.0;[Red]\(&quot;$&quot;#,##0.0\)"/>
    <numFmt numFmtId="268" formatCode="&quot;$&quot;#,##0.00_%_);\(&quot;$&quot;#,##0.00\)_%;&quot;$&quot;###0.00_%_);@_%_)"/>
    <numFmt numFmtId="269" formatCode="&quot;₩&quot;#,##0;&quot;₩&quot;\-#,##0"/>
    <numFmt numFmtId="270" formatCode="&quot;$&quot;#."/>
    <numFmt numFmtId="271" formatCode="#,##0.0\);\(#,##0.0\)"/>
    <numFmt numFmtId="272" formatCode="&quot;$&quot;#,##0.0_%_);\(&quot;$&quot;#,##0.0\)_%;&quot;$&quot;#,##0.0_%_);@_%_)"/>
    <numFmt numFmtId="273" formatCode="#.##\:\1"/>
    <numFmt numFmtId="274" formatCode="\ \ _•\–\ \ \ \ @"/>
    <numFmt numFmtId="275" formatCode="m/d/yy_%_)"/>
    <numFmt numFmtId="276" formatCode="_(* #,##0.000_);_(* \(#,##0.000\);_(* &quot;-&quot;??_);_(@_)"/>
    <numFmt numFmtId="277" formatCode="_-* #,##0\ _D_M_-;\-* #,##0\ _D_M_-;_-* &quot;-&quot;\ _D_M_-;_-@_-"/>
    <numFmt numFmtId="278" formatCode="_-* #,##0.00\ _D_M_-;\-* #,##0.00\ _D_M_-;_-* &quot;-&quot;??\ _D_M_-;_-@_-"/>
    <numFmt numFmtId="279" formatCode="&quot;$&quot;#,##0.00"/>
    <numFmt numFmtId="280" formatCode="0_%_);\(0\)_%;0_%_);@_%_)"/>
    <numFmt numFmtId="281" formatCode="_([$€-2]* #,##0.00_);_([$€-2]* \(#,##0.00\);_([$€-2]* &quot;-&quot;??_)"/>
    <numFmt numFmtId="282" formatCode="#,##0;\(#,##0\);&quot;-&quot;"/>
    <numFmt numFmtId="283" formatCode="_(* #,##0.00000_);_(* \(#,##0.00000\);_(* &quot;-&quot;??_);_(@_)"/>
    <numFmt numFmtId="284" formatCode="#.00"/>
    <numFmt numFmtId="285" formatCode="#,##0.000_);\(#,##0.000\)"/>
    <numFmt numFmtId="286" formatCode="\(0\)"/>
    <numFmt numFmtId="287" formatCode="#,##0.0_);[Red]\(#,##0.0\)"/>
    <numFmt numFmtId="288" formatCode="&quot;$&quot;#,##0"/>
    <numFmt numFmtId="289" formatCode="0.0\%_);\(0.0\%\);0.0\%_);@_%_)"/>
    <numFmt numFmtId="290" formatCode="&quot;Income Taxes at&quot;\ 0%"/>
    <numFmt numFmtId="291" formatCode="#,##0\ \ \ "/>
    <numFmt numFmtId="292" formatCode="0.00_);\(0.00\);0.00_)"/>
    <numFmt numFmtId="293" formatCode="#,##0;[Red]#,##0&quot;-&quot;"/>
    <numFmt numFmtId="294" formatCode="#,##0.00;[Red]#,##0.00&quot;-&quot;"/>
    <numFmt numFmtId="295" formatCode="0.00_)"/>
    <numFmt numFmtId="296" formatCode=";;;@*."/>
    <numFmt numFmtId="297" formatCode="_(* #,##0,,_);_(* \(#,##0,,\);_(* &quot;-&quot;??_);_(@_)"/>
    <numFmt numFmtId="298" formatCode="#,##0.000000000000"/>
    <numFmt numFmtId="299" formatCode="m/yy_%_)"/>
    <numFmt numFmtId="300" formatCode="_-* #,##0\ &quot;F&quot;_-;\-* #,##0\ &quot;F&quot;_-;_-* &quot;-&quot;\ &quot;F&quot;_-;_-@_-"/>
    <numFmt numFmtId="301" formatCode="_-* #,##0.00\ &quot;F&quot;_-;\-* #,##0.00\ &quot;F&quot;_-;_-* &quot;-&quot;??\ &quot;F&quot;_-;_-@_-"/>
    <numFmt numFmtId="302" formatCode="_ &quot;£&quot;* #,##0.00_ ;_ &quot;£&quot;* \-#,##0.00_ ;_ &quot;£&quot;* &quot;-&quot;??_ ;_ @_ "/>
    <numFmt numFmtId="303" formatCode="#,##0.0\x_);\(#,##0.0\x\);#,##0.0\x_);@_)"/>
    <numFmt numFmtId="304" formatCode="#,##0.00_)"/>
    <numFmt numFmtId="305" formatCode="_-* #,##0.00000_-;\-* #,##0.00000_-;_-* &quot;-&quot;_-;_-@_-"/>
    <numFmt numFmtId="306" formatCode="_ &quot;₩&quot;* #,##0.00_ ;_ &quot;₩&quot;* &quot;₩&quot;&quot;₩&quot;&quot;₩&quot;&quot;₩&quot;\-#,##0.00_ ;_ &quot;₩&quot;* &quot;-&quot;??_ ;_ @_ "/>
    <numFmt numFmtId="307" formatCode="#,##0.000000_);\(#,##0.000000\)"/>
    <numFmt numFmtId="308" formatCode="&quot;$&quot;General"/>
    <numFmt numFmtId="309" formatCode="0.0%_%;\(0.0%\)_%"/>
    <numFmt numFmtId="310" formatCode="0.00\%;\-0.00\%;0.00\%"/>
    <numFmt numFmtId="311" formatCode="0.000%"/>
    <numFmt numFmtId="312" formatCode="#,##0.00_);\(#,##0.00\);#,##0.00_);@_)"/>
    <numFmt numFmtId="313" formatCode="0.00\x;\-0.00\x;0.00\x"/>
    <numFmt numFmtId="314" formatCode="0."/>
    <numFmt numFmtId="315" formatCode="##0.00000"/>
    <numFmt numFmtId="316" formatCode="#,###,;\(#,###,\)"/>
    <numFmt numFmtId="317" formatCode="_(#,##0.00_);_(\-#,##0.00_)"/>
    <numFmt numFmtId="318" formatCode="_(#,##0.0_);_(\-#,##0.0_)"/>
    <numFmt numFmtId="319" formatCode="_(* #,##0.0,_);_(* \(#,##0.0,\);_(* &quot;-&quot;_);_(@_)"/>
    <numFmt numFmtId="320" formatCode="General;;"/>
    <numFmt numFmtId="321" formatCode="&quot;f.&quot;\ #,##0_-;[Red]&quot;f.&quot;\ #,##0\-"/>
    <numFmt numFmtId="322" formatCode="&quot;f.&quot;\ #,##0.00_-;[Red]&quot;f.&quot;\ #,##0.00\-"/>
    <numFmt numFmtId="323" formatCode="_-&quot;£&quot;* #,##0_-;\-&quot;£&quot;* #,##0_-;_-&quot;£&quot;* &quot;-&quot;_-;_-@_-"/>
    <numFmt numFmtId="324" formatCode="_-* #,##0.00\ &quot;DM&quot;_-;\-* #,##0.00\ &quot;DM&quot;_-;_-* &quot;-&quot;??\ &quot;DM&quot;_-;_-@_-"/>
    <numFmt numFmtId="325" formatCode="0.000000000"/>
    <numFmt numFmtId="326" formatCode="_(&quot;$&quot;* #,##0_);_(&quot;$&quot;* \(#,##0\);_(&quot;$&quot;* &quot;-&quot;??_);_(@_)"/>
    <numFmt numFmtId="327" formatCode="mmm\ dd\,\ yy"/>
    <numFmt numFmtId="328" formatCode="_(&quot;$&quot;* #,##0.0_);_(&quot;$&quot;* \(#,##0.0\);_(&quot;$&quot;* &quot;-&quot;??_);_(@_)"/>
    <numFmt numFmtId="329" formatCode="mm/dd/yy_)"/>
    <numFmt numFmtId="330" formatCode="_-* #,##0&quot;ㄓ&quot;_-;\-* #,##0&quot;ㄓ&quot;_-;_-* &quot;-&quot;&quot;ㄓ&quot;_-;_-@_-"/>
    <numFmt numFmtId="331" formatCode="_-* #,##0.00&quot;ㄓ&quot;_-;\-* #,##0.00&quot;ㄓ&quot;_-;_-* &quot;-&quot;??&quot;ㄓ&quot;_-;_-@_-"/>
    <numFmt numFmtId="332" formatCode="_-* #,##0.00\ [$€]_-;\-* #,##0.00\ [$€]_-;_-* &quot;-&quot;??\ [$€]_-;_-@_-"/>
    <numFmt numFmtId="333" formatCode="_ * #,##0_ ;_ * \-#,##0_ ;_ * &quot;-&quot;??_ ;_ @_ "/>
    <numFmt numFmtId="334" formatCode="_(* #,##0_);_(* \(#,##0\);_(* &quot;&quot;\ \-\ &quot;&quot;_);_(* @_)"/>
    <numFmt numFmtId="335" formatCode="[$-409]mmm\-yy;@"/>
    <numFmt numFmtId="336" formatCode="&quot;₩&quot;_(#,##0.00_);&quot;₩&quot;\(#,##0.00\)"/>
    <numFmt numFmtId="337" formatCode="#,##0;\-#,##0;&quot;-&quot;"/>
    <numFmt numFmtId="338" formatCode="&quot;￥&quot;#,##0;[Red]\-&quot;￥&quot;#,##0"/>
    <numFmt numFmtId="339" formatCode="[Red]#,##0;[Red]\(#,##0\);[Green]&quot;Ok&quot;;[Blue]General"/>
    <numFmt numFmtId="340" formatCode="0.000000%"/>
    <numFmt numFmtId="341" formatCode="m/d/yyyy\ \ h:mm\ AM/PM"/>
    <numFmt numFmtId="342" formatCode="* #,##0_%;* \-#,##0_%;* #,##0_%;@_%"/>
    <numFmt numFmtId="343" formatCode="mm/yyyy"/>
    <numFmt numFmtId="344" formatCode="_-* #,##0\ &quot;DM&quot;_-;\-* #,##0\ &quot;DM&quot;_-;_-* &quot;-&quot;\ &quot;DM&quot;_-;_-@_-"/>
    <numFmt numFmtId="345" formatCode="#,##0_);\(#,##0\);\-\-_)"/>
    <numFmt numFmtId="346" formatCode="#,##0.00;[Red]\(#,##0.00\)"/>
    <numFmt numFmtId="347" formatCode="[&lt;=9999999]###\-####;\(###\)\ ###\-####"/>
    <numFmt numFmtId="348" formatCode="#,##0;\(#,##0\);\-"/>
    <numFmt numFmtId="349" formatCode="&quot;￥&quot;#,##0;\-&quot;￥&quot;#,##0"/>
    <numFmt numFmtId="350" formatCode="000"/>
    <numFmt numFmtId="351" formatCode="yyyy&quot;年&quot;m&quot;月&quot;d&quot;日&quot;;@"/>
    <numFmt numFmtId="352" formatCode="[$-F800]dddd\,\ mmmm\ dd\,\ yyyy"/>
    <numFmt numFmtId="353" formatCode="[$JPY]\ #,##0_);[Red]\([$JPY]\ #,##0\)"/>
  </numFmts>
  <fonts count="33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34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scheme val="minor"/>
    </font>
    <font>
      <sz val="10"/>
      <color theme="1"/>
      <name val="Calibri"/>
      <family val="2"/>
    </font>
    <font>
      <b/>
      <sz val="10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9"/>
      <color indexed="81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10"/>
      <color theme="1"/>
      <name val="Calibri"/>
      <family val="2"/>
    </font>
    <font>
      <b/>
      <sz val="9"/>
      <color indexed="81"/>
      <name val="돋움"/>
      <family val="3"/>
      <charset val="129"/>
    </font>
    <font>
      <b/>
      <u/>
      <sz val="9"/>
      <color indexed="81"/>
      <name val="Tahoma"/>
      <family val="2"/>
    </font>
    <font>
      <b/>
      <u/>
      <sz val="9"/>
      <color indexed="81"/>
      <name val="돋움"/>
      <family val="3"/>
      <charset val="129"/>
    </font>
    <font>
      <sz val="11"/>
      <color indexed="8"/>
      <name val="宋体"/>
      <family val="3"/>
      <charset val="134"/>
    </font>
    <font>
      <sz val="10"/>
      <color rgb="FFFF0000"/>
      <name val="맑은 고딕"/>
      <family val="3"/>
      <charset val="129"/>
    </font>
    <font>
      <sz val="9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u/>
      <sz val="10"/>
      <color theme="1"/>
      <name val="Arial"/>
      <family val="2"/>
    </font>
    <font>
      <sz val="9"/>
      <name val="맑은 고딕"/>
      <family val="3"/>
      <charset val="134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sz val="9"/>
      <name val="Arial"/>
      <family val="2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name val="Arial"/>
      <family val="2"/>
    </font>
    <font>
      <sz val="10"/>
      <color theme="1"/>
      <name val="微软雅黑"/>
      <family val="2"/>
      <charset val="134"/>
    </font>
    <font>
      <sz val="11"/>
      <name val="Garamond"/>
      <family val="1"/>
    </font>
    <font>
      <sz val="12"/>
      <name val="宋体"/>
      <family val="3"/>
      <charset val="134"/>
    </font>
    <font>
      <sz val="11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2"/>
      <color indexed="8"/>
      <name val="Times New Roman"/>
      <family val="1"/>
    </font>
    <font>
      <sz val="10"/>
      <name val="Helvetica"/>
      <family val="2"/>
    </font>
    <font>
      <sz val="12"/>
      <name val="Times New Roman"/>
      <family val="1"/>
    </font>
    <font>
      <sz val="11"/>
      <name val="MS P????"/>
      <family val="3"/>
    </font>
    <font>
      <sz val="11"/>
      <name val="??"/>
      <family val="3"/>
    </font>
    <font>
      <sz val="8"/>
      <color indexed="12"/>
      <name val="Arial"/>
      <family val="2"/>
    </font>
    <font>
      <sz val="8"/>
      <name val="Times New Roman"/>
      <family val="1"/>
    </font>
    <font>
      <sz val="10"/>
      <name val="Helv"/>
      <family val="2"/>
    </font>
    <font>
      <sz val="10"/>
      <name val="Geneva"/>
      <family val="2"/>
    </font>
    <font>
      <sz val="12"/>
      <name val="新細明體"/>
      <family val="1"/>
      <charset val="136"/>
    </font>
    <font>
      <b/>
      <sz val="22"/>
      <color indexed="18"/>
      <name val="Arial"/>
      <family val="2"/>
    </font>
    <font>
      <sz val="10"/>
      <color indexed="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 val="singleAccounting"/>
      <vertAlign val="subscript"/>
      <sz val="10"/>
      <name val="Times New Roman"/>
      <family val="1"/>
    </font>
    <font>
      <i/>
      <sz val="9"/>
      <name val="Times New Roman"/>
      <family val="1"/>
    </font>
    <font>
      <sz val="11"/>
      <color indexed="9"/>
      <name val="宋体"/>
      <family val="3"/>
      <charset val="134"/>
    </font>
    <font>
      <sz val="10"/>
      <name val="MS Sans Serif"/>
      <family val="2"/>
    </font>
    <font>
      <sz val="13"/>
      <name val="Tms Rmn"/>
      <family val="1"/>
    </font>
    <font>
      <b/>
      <sz val="11"/>
      <name val="Book Antiqua"/>
      <family val="1"/>
    </font>
    <font>
      <sz val="8"/>
      <name val="Arial"/>
      <family val="2"/>
    </font>
    <font>
      <sz val="10.5"/>
      <name val="宋体"/>
      <family val="3"/>
      <charset val="134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name val="Arial MT"/>
      <family val="2"/>
    </font>
    <font>
      <sz val="8"/>
      <name val="Times"/>
      <family val="1"/>
    </font>
    <font>
      <b/>
      <sz val="12"/>
      <name val="Times New Roman"/>
      <family val="1"/>
    </font>
    <font>
      <b/>
      <sz val="12"/>
      <name val="Tms Rmn"/>
      <family val="1"/>
    </font>
    <font>
      <sz val="12"/>
      <name val="Arial"/>
      <family val="2"/>
    </font>
    <font>
      <sz val="12"/>
      <color indexed="12"/>
      <name val="Times New Roman"/>
      <family val="1"/>
    </font>
    <font>
      <b/>
      <sz val="10"/>
      <color indexed="9"/>
      <name val="Gill Sans MT"/>
      <family val="2"/>
    </font>
    <font>
      <sz val="10"/>
      <color indexed="8"/>
      <name val="Book Antiqua"/>
      <family val="1"/>
    </font>
    <font>
      <strike/>
      <sz val="8"/>
      <name val="Arial"/>
      <family val="2"/>
    </font>
    <font>
      <sz val="8"/>
      <color indexed="8"/>
      <name val="Arial"/>
      <family val="2"/>
    </font>
    <font>
      <sz val="8"/>
      <color indexed="12"/>
      <name val="Tms Rmn"/>
      <family val="1"/>
    </font>
    <font>
      <sz val="12"/>
      <name val="Tms Rmn"/>
      <family val="1"/>
    </font>
    <font>
      <b/>
      <sz val="8"/>
      <color indexed="8"/>
      <name val="Arial"/>
      <family val="2"/>
    </font>
    <font>
      <sz val="8"/>
      <color indexed="12"/>
      <name val="Times New Roman"/>
      <family val="1"/>
    </font>
    <font>
      <b/>
      <sz val="8"/>
      <name val="Times New Roman"/>
      <family val="1"/>
    </font>
    <font>
      <sz val="10"/>
      <name val="Courier"/>
      <family val="3"/>
    </font>
    <font>
      <b/>
      <sz val="9"/>
      <color indexed="24"/>
      <name val="Arial"/>
      <family val="2"/>
    </font>
    <font>
      <u val="singleAccounting"/>
      <sz val="10"/>
      <name val="Arial"/>
      <family val="2"/>
    </font>
    <font>
      <b/>
      <i/>
      <sz val="9"/>
      <name val="Arial"/>
      <family val="2"/>
    </font>
    <font>
      <b/>
      <sz val="10"/>
      <color indexed="8"/>
      <name val="Times New Roman"/>
      <family val="1"/>
    </font>
    <font>
      <sz val="9"/>
      <name val="Tms Rmn"/>
      <family val="1"/>
    </font>
    <font>
      <b/>
      <sz val="10"/>
      <name val="Helv"/>
      <family val="2"/>
    </font>
    <font>
      <sz val="8"/>
      <name val="Tms Rmn"/>
      <family val="1"/>
    </font>
    <font>
      <sz val="10"/>
      <color indexed="18"/>
      <name val="Times New Roman"/>
      <family val="1"/>
    </font>
    <font>
      <b/>
      <sz val="10"/>
      <name val="Palatino"/>
      <family val="1"/>
    </font>
    <font>
      <i/>
      <sz val="8"/>
      <color indexed="10"/>
      <name val="Arial"/>
      <family val="2"/>
    </font>
    <font>
      <b/>
      <i/>
      <sz val="8"/>
      <name val="Arial"/>
      <family val="2"/>
    </font>
    <font>
      <b/>
      <sz val="8"/>
      <name val="Book Antiqua"/>
      <family val="1"/>
    </font>
    <font>
      <b/>
      <sz val="13"/>
      <name val="Tms Rmn"/>
      <family val="1"/>
    </font>
    <font>
      <b/>
      <u/>
      <sz val="8"/>
      <name val="Arial"/>
      <family val="2"/>
    </font>
    <font>
      <b/>
      <sz val="10"/>
      <color indexed="9"/>
      <name val="Arial"/>
      <family val="2"/>
    </font>
    <font>
      <b/>
      <sz val="8"/>
      <color indexed="9"/>
      <name val="Arial"/>
      <family val="2"/>
    </font>
    <font>
      <b/>
      <sz val="8"/>
      <color indexed="8"/>
      <name val="Courier New"/>
      <family val="3"/>
    </font>
    <font>
      <sz val="11"/>
      <name val="Tms Rmn"/>
      <family val="1"/>
    </font>
    <font>
      <sz val="11"/>
      <name val="Book Antiqua"/>
      <family val="1"/>
    </font>
    <font>
      <sz val="10"/>
      <name val="Tms Rmn"/>
      <family val="1"/>
    </font>
    <font>
      <sz val="8"/>
      <name val="Palatino"/>
      <family val="1"/>
    </font>
    <font>
      <sz val="11"/>
      <color indexed="8"/>
      <name val="Calibri"/>
      <family val="2"/>
    </font>
    <font>
      <sz val="10"/>
      <name val="ＭＳ Ｐゴシック"/>
      <family val="2"/>
    </font>
    <font>
      <sz val="1"/>
      <color indexed="8"/>
      <name val="Courier"/>
      <family val="3"/>
    </font>
    <font>
      <sz val="10"/>
      <name val="BERNHARD"/>
      <family val="2"/>
    </font>
    <font>
      <sz val="24"/>
      <name val="Arial"/>
      <family val="2"/>
    </font>
    <font>
      <b/>
      <sz val="11"/>
      <name val="Times New Roman"/>
      <family val="1"/>
    </font>
    <font>
      <sz val="10"/>
      <name val="MS Serif"/>
      <family val="1"/>
    </font>
    <font>
      <sz val="10"/>
      <color indexed="17"/>
      <name val="Times New Roman"/>
      <family val="1"/>
    </font>
    <font>
      <sz val="12"/>
      <color indexed="8"/>
      <name val="Book Antiqua"/>
      <family val="1"/>
    </font>
    <font>
      <sz val="8"/>
      <name val="Helv"/>
      <family val="2"/>
    </font>
    <font>
      <b/>
      <sz val="8"/>
      <name val="Arial"/>
      <family val="2"/>
    </font>
    <font>
      <u/>
      <sz val="8"/>
      <color indexed="12"/>
      <name val="Times New Roman"/>
      <family val="1"/>
    </font>
    <font>
      <sz val="14"/>
      <name val="AngsanaUPC"/>
      <family val="1"/>
    </font>
    <font>
      <sz val="8"/>
      <color indexed="14"/>
      <name val="Times New Roman"/>
      <family val="1"/>
    </font>
    <font>
      <u val="doubleAccounting"/>
      <sz val="10"/>
      <name val="Arial"/>
      <family val="2"/>
    </font>
    <font>
      <sz val="9"/>
      <color indexed="8"/>
      <name val="Times New Roman"/>
      <family val="1"/>
    </font>
    <font>
      <i/>
      <sz val="10"/>
      <color indexed="12"/>
      <name val="Times New Roman"/>
      <family val="1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i/>
      <sz val="10"/>
      <color indexed="25"/>
      <name val="Arial Narrow"/>
      <family val="2"/>
    </font>
    <font>
      <sz val="10"/>
      <name val="Arial Narrow"/>
      <family val="2"/>
    </font>
    <font>
      <sz val="7"/>
      <name val="Palatino"/>
      <family val="1"/>
    </font>
    <font>
      <sz val="7"/>
      <name val="Arial"/>
      <family val="2"/>
    </font>
    <font>
      <sz val="12"/>
      <color indexed="9"/>
      <name val="Times New Roman"/>
      <family val="1"/>
    </font>
    <font>
      <sz val="24"/>
      <color indexed="8"/>
      <name val="TimesNewRomanPS"/>
      <family val="1"/>
    </font>
    <font>
      <sz val="18"/>
      <color indexed="8"/>
      <name val="Times New Roman"/>
      <family val="1"/>
    </font>
    <font>
      <b/>
      <sz val="10"/>
      <color indexed="63"/>
      <name val="Arial"/>
      <family val="2"/>
    </font>
    <font>
      <b/>
      <sz val="16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8"/>
      <name val="Palatino"/>
      <family val="1"/>
    </font>
    <font>
      <b/>
      <i/>
      <sz val="22"/>
      <name val="Times New Roman"/>
      <family val="1"/>
    </font>
    <font>
      <b/>
      <sz val="11"/>
      <color indexed="62"/>
      <name val="Arial"/>
      <family val="2"/>
    </font>
    <font>
      <b/>
      <sz val="11"/>
      <color indexed="18"/>
      <name val="Arial"/>
      <family val="2"/>
    </font>
    <font>
      <sz val="24"/>
      <color indexed="8"/>
      <name val="Times New Roman"/>
      <family val="1"/>
    </font>
    <font>
      <sz val="10"/>
      <color indexed="12"/>
      <name val="Frutiger 45 Light"/>
      <family val="2"/>
    </font>
    <font>
      <b/>
      <sz val="24"/>
      <name val="Times New Roman"/>
      <family val="1"/>
    </font>
    <font>
      <b/>
      <sz val="18"/>
      <name val="Times New Roman"/>
      <family val="1"/>
    </font>
    <font>
      <sz val="14"/>
      <name val="Times New Roman"/>
      <family val="1"/>
    </font>
    <font>
      <sz val="10"/>
      <color indexed="12"/>
      <name val="Arial"/>
      <family val="2"/>
    </font>
    <font>
      <i/>
      <sz val="8.5"/>
      <name val="Letter Gothic"/>
      <family val="3"/>
    </font>
    <font>
      <b/>
      <i/>
      <sz val="10"/>
      <color indexed="8"/>
      <name val="Gill Sans MT"/>
      <family val="2"/>
    </font>
    <font>
      <sz val="8"/>
      <color indexed="10"/>
      <name val="Helv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24"/>
      <color indexed="9"/>
      <name val="Times New Roman"/>
      <family val="1"/>
    </font>
    <font>
      <sz val="18"/>
      <color indexed="9"/>
      <name val="Times New Roman"/>
      <family val="1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b/>
      <sz val="10"/>
      <color indexed="8"/>
      <name val="Arial"/>
      <family val="2"/>
    </font>
    <font>
      <sz val="10"/>
      <color indexed="16"/>
      <name val="MS Sans Serif"/>
      <family val="2"/>
    </font>
    <font>
      <sz val="10"/>
      <name val="Book Antiqua"/>
      <family val="1"/>
    </font>
    <font>
      <sz val="9"/>
      <name val="Times New Roman"/>
      <family val="1"/>
    </font>
    <font>
      <sz val="10"/>
      <name val="SWISS"/>
      <family val="2"/>
    </font>
    <font>
      <sz val="10"/>
      <name val="Palatino"/>
      <family val="1"/>
    </font>
    <font>
      <b/>
      <sz val="12"/>
      <color indexed="8"/>
      <name val="Arial"/>
      <family val="2"/>
    </font>
    <font>
      <sz val="7"/>
      <name val="Small Fonts"/>
      <family val="2"/>
    </font>
    <font>
      <sz val="8"/>
      <name val="Helvetica"/>
      <family val="2"/>
    </font>
    <font>
      <sz val="7"/>
      <color indexed="12"/>
      <name val="Arial"/>
      <family val="2"/>
    </font>
    <font>
      <i/>
      <sz val="10"/>
      <name val="Helv"/>
      <family val="2"/>
    </font>
    <font>
      <sz val="8"/>
      <name val="Book Antiqua"/>
      <family val="1"/>
    </font>
    <font>
      <b/>
      <sz val="13.5"/>
      <name val="MS Sans Serif"/>
      <family val="2"/>
    </font>
    <font>
      <b/>
      <i/>
      <sz val="10"/>
      <color indexed="8"/>
      <name val="Arial"/>
      <family val="2"/>
    </font>
    <font>
      <b/>
      <i/>
      <sz val="22"/>
      <color indexed="8"/>
      <name val="Times New Roman"/>
      <family val="1"/>
    </font>
    <font>
      <i/>
      <sz val="10"/>
      <name val="Times New Roman"/>
      <family val="1"/>
    </font>
    <font>
      <b/>
      <sz val="26"/>
      <name val="Times New Roman"/>
      <family val="1"/>
    </font>
    <font>
      <sz val="10"/>
      <color indexed="16"/>
      <name val="Helvetica-Black"/>
      <family val="2"/>
    </font>
    <font>
      <b/>
      <sz val="10"/>
      <name val="Times New Roman"/>
      <family val="1"/>
    </font>
    <font>
      <i/>
      <sz val="12"/>
      <color indexed="8"/>
      <name val="Times New Roman"/>
      <family val="1"/>
    </font>
    <font>
      <i/>
      <sz val="9"/>
      <name val="Book Antiqua"/>
      <family val="1"/>
    </font>
    <font>
      <sz val="12"/>
      <name val="Book Antiqua"/>
      <family val="1"/>
    </font>
    <font>
      <b/>
      <sz val="12"/>
      <color indexed="8"/>
      <name val="Times New Roman"/>
      <family val="1"/>
    </font>
    <font>
      <sz val="8"/>
      <color indexed="17"/>
      <name val="Times New Roman"/>
      <family val="1"/>
    </font>
    <font>
      <sz val="12"/>
      <color indexed="10"/>
      <name val="Times New Roman"/>
      <family val="1"/>
    </font>
    <font>
      <sz val="10"/>
      <color indexed="8"/>
      <name val="Times New Roman"/>
      <family val="1"/>
    </font>
    <font>
      <b/>
      <sz val="10"/>
      <color indexed="39"/>
      <name val="Arial"/>
      <family val="2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10"/>
      <color indexed="23"/>
      <name val="MS Sans Serif"/>
      <family val="2"/>
    </font>
    <font>
      <sz val="10"/>
      <color indexed="12"/>
      <name val="TimesNewRomanPS"/>
      <family val="1"/>
    </font>
    <font>
      <b/>
      <sz val="12"/>
      <color indexed="9"/>
      <name val="Arial"/>
      <family val="2"/>
    </font>
    <font>
      <b/>
      <sz val="12"/>
      <name val="MS Sans Serif"/>
      <family val="2"/>
    </font>
    <font>
      <sz val="10"/>
      <name val="TimesNewRomanPS"/>
      <family val="1"/>
    </font>
    <font>
      <sz val="10"/>
      <color indexed="12"/>
      <name val="Times New Roman"/>
      <family val="1"/>
    </font>
    <font>
      <b/>
      <sz val="14"/>
      <name val="Arial"/>
      <family val="2"/>
    </font>
    <font>
      <i/>
      <sz val="8"/>
      <name val="Times New Roman"/>
      <family val="1"/>
    </font>
    <font>
      <sz val="12"/>
      <name val="MS Sans Serif"/>
      <family val="2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Palatino"/>
      <family val="1"/>
    </font>
    <font>
      <sz val="9"/>
      <color indexed="21"/>
      <name val="Helvetica-Black"/>
      <family val="2"/>
    </font>
    <font>
      <b/>
      <sz val="12"/>
      <color indexed="16"/>
      <name val="Swis721 Cn BT"/>
      <family val="2"/>
    </font>
    <font>
      <b/>
      <sz val="10"/>
      <color indexed="16"/>
      <name val="Arial"/>
      <family val="2"/>
    </font>
    <font>
      <b/>
      <sz val="12"/>
      <color indexed="16"/>
      <name val="Arial"/>
      <family val="2"/>
    </font>
    <font>
      <sz val="7"/>
      <color indexed="16"/>
      <name val="Arial"/>
      <family val="2"/>
    </font>
    <font>
      <sz val="8"/>
      <name val="Helvetica-Narrow"/>
      <family val="2"/>
    </font>
    <font>
      <b/>
      <sz val="7"/>
      <name val="Helvetica-Narrow"/>
      <family val="2"/>
    </font>
    <font>
      <b/>
      <u val="singleAccounting"/>
      <sz val="14"/>
      <name val="Times New Roman"/>
      <family val="1"/>
    </font>
    <font>
      <i/>
      <sz val="14"/>
      <name val="Times New Roman"/>
      <family val="1"/>
    </font>
    <font>
      <b/>
      <sz val="10"/>
      <name val="Geneva"/>
      <family val="2"/>
    </font>
    <font>
      <b/>
      <u/>
      <sz val="9"/>
      <name val="Arial"/>
      <family val="2"/>
    </font>
    <font>
      <b/>
      <sz val="18"/>
      <name val="Palatino"/>
      <family val="1"/>
    </font>
    <font>
      <b/>
      <sz val="14"/>
      <name val="Palatino"/>
      <family val="1"/>
    </font>
    <font>
      <b/>
      <sz val="7"/>
      <name val="Arial"/>
      <family val="2"/>
    </font>
    <font>
      <b/>
      <sz val="14"/>
      <color indexed="23"/>
      <name val="Arial"/>
      <family val="2"/>
    </font>
    <font>
      <sz val="11"/>
      <color indexed="12"/>
      <name val="Times New Roman"/>
      <family val="1"/>
    </font>
    <font>
      <sz val="8"/>
      <color indexed="8"/>
      <name val="Wingdings"/>
      <charset val="2"/>
    </font>
    <font>
      <sz val="12"/>
      <name val="Helv"/>
      <family val="2"/>
    </font>
    <font>
      <sz val="8"/>
      <color indexed="9"/>
      <name val="Arial"/>
      <family val="2"/>
    </font>
    <font>
      <b/>
      <sz val="10"/>
      <color indexed="12"/>
      <name val="Book Antiqua"/>
      <family val="1"/>
    </font>
    <font>
      <sz val="11"/>
      <name val="ZapfCalligr BT"/>
      <family val="2"/>
    </font>
    <font>
      <sz val="12"/>
      <name val="Courier"/>
      <family val="3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1"/>
      <color indexed="20"/>
      <name val="宋体"/>
      <family val="3"/>
      <charset val="134"/>
    </font>
    <font>
      <sz val="10"/>
      <color indexed="20"/>
      <name val="宋体"/>
      <family val="3"/>
      <charset val="134"/>
    </font>
    <font>
      <sz val="12"/>
      <name val="新0明 "/>
      <family val="1"/>
    </font>
    <font>
      <u/>
      <sz val="12"/>
      <color indexed="12"/>
      <name val="新細明體"/>
      <family val="1"/>
      <charset val="136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sz val="10"/>
      <color indexed="17"/>
      <name val="宋体"/>
      <family val="3"/>
      <charset val="134"/>
    </font>
    <font>
      <sz val="12"/>
      <color indexed="17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蹈框"/>
      <family val="2"/>
    </font>
    <font>
      <b/>
      <sz val="12"/>
      <color indexed="63"/>
      <name val="新細明體"/>
      <family val="1"/>
      <charset val="136"/>
    </font>
    <font>
      <sz val="12"/>
      <color indexed="6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u/>
      <sz val="12"/>
      <color indexed="36"/>
      <name val="Courier"/>
      <family val="3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2"/>
      <color indexed="60"/>
      <name val="新細明體"/>
      <family val="1"/>
      <charset val="136"/>
    </font>
    <font>
      <sz val="12"/>
      <name val="바탕체"/>
      <family val="3"/>
      <charset val="129"/>
    </font>
    <font>
      <b/>
      <sz val="9"/>
      <color indexed="9"/>
      <name val="Arial"/>
      <family val="2"/>
    </font>
    <font>
      <i/>
      <sz val="10"/>
      <name val="Arial"/>
      <family val="2"/>
    </font>
    <font>
      <b/>
      <u val="singleAccounting"/>
      <sz val="9"/>
      <color indexed="9"/>
      <name val="Arial"/>
      <family val="2"/>
    </font>
    <font>
      <sz val="11"/>
      <color theme="1"/>
      <name val="맑은 고딕"/>
      <family val="3"/>
      <charset val="134"/>
      <scheme val="minor"/>
    </font>
    <font>
      <sz val="11"/>
      <color theme="1"/>
      <name val="宋体"/>
      <family val="3"/>
      <charset val="134"/>
    </font>
    <font>
      <sz val="12"/>
      <color indexed="8"/>
      <name val="宋体"/>
      <family val="3"/>
      <charset val="134"/>
    </font>
    <font>
      <sz val="14"/>
      <name val="?? ??"/>
      <family val="1"/>
    </font>
    <font>
      <sz val="11"/>
      <name val="ＭＳ Ｐゴシック"/>
      <family val="2"/>
      <charset val="128"/>
    </font>
    <font>
      <sz val="12"/>
      <name val="ＭＳ Ｐゴシック"/>
      <family val="2"/>
      <charset val="128"/>
    </font>
    <font>
      <sz val="12"/>
      <name val="新細明體"/>
      <family val="1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sz val="9"/>
      <name val="Tahoma"/>
      <family val="2"/>
    </font>
    <font>
      <b/>
      <sz val="8"/>
      <name val="TimesNewRomanPS"/>
      <family val="1"/>
    </font>
    <font>
      <b/>
      <sz val="10"/>
      <color indexed="9"/>
      <name val="ＭＳ ゴシック"/>
      <family val="3"/>
      <charset val="128"/>
    </font>
    <font>
      <b/>
      <sz val="8"/>
      <color indexed="9"/>
      <name val="ＭＳ ゴシック"/>
      <family val="3"/>
      <charset val="128"/>
    </font>
    <font>
      <b/>
      <sz val="8"/>
      <color indexed="8"/>
      <name val="ＭＳ ゴシック"/>
      <family val="3"/>
      <charset val="128"/>
    </font>
    <font>
      <b/>
      <sz val="9"/>
      <name val="Tahoma"/>
      <family val="2"/>
    </font>
    <font>
      <sz val="10"/>
      <color indexed="48"/>
      <name val="Arial"/>
      <family val="2"/>
    </font>
    <font>
      <b/>
      <sz val="10"/>
      <name val="Tahoma"/>
      <family val="2"/>
    </font>
    <font>
      <u/>
      <sz val="12"/>
      <name val="Tahoma"/>
      <family val="2"/>
    </font>
    <font>
      <u/>
      <sz val="11"/>
      <name val="Tahoma"/>
      <family val="2"/>
    </font>
    <font>
      <u/>
      <sz val="10"/>
      <name val="Tahoma"/>
      <family val="2"/>
    </font>
    <font>
      <u/>
      <sz val="9"/>
      <name val="Tahoma"/>
      <family val="2"/>
    </font>
    <font>
      <b/>
      <sz val="10"/>
      <color indexed="8"/>
      <name val="ＭＳ ゴシック"/>
      <family val="3"/>
      <charset val="128"/>
    </font>
    <font>
      <sz val="10"/>
      <color indexed="8"/>
      <name val="_x001b_$B#M#S_x001b_(B _x001b_$B%4%7%C%/_x001b_(B"/>
      <family val="1"/>
    </font>
    <font>
      <b/>
      <i/>
      <sz val="10"/>
      <color indexed="8"/>
      <name val="_x001b_$B#M#S_x001b_(B _x001b_$B%4%7%C%/_x001b_(B"/>
      <family val="1"/>
    </font>
    <font>
      <b/>
      <sz val="10"/>
      <color indexed="9"/>
      <name val="_x001b_$B#M#S_x001b_(B _x001b_$B%4%7%C%/_x001b_(B"/>
      <family val="1"/>
    </font>
    <font>
      <b/>
      <sz val="10"/>
      <color indexed="17"/>
      <name val="_x001b_$B#M#S_x001b_(B _x001b_$B%4%7%C%/_x001b_(B"/>
      <family val="1"/>
    </font>
    <font>
      <b/>
      <sz val="16"/>
      <color indexed="13"/>
      <name val="_x001b_$B#M#S_x001b_(B _x001b_$B%4%7%C%/_x001b_(B"/>
      <family val="1"/>
    </font>
    <font>
      <b/>
      <sz val="12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8"/>
      <color indexed="12"/>
      <name val="ＭＳ ゴシック"/>
      <family val="3"/>
      <charset val="128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2"/>
      <color indexed="14"/>
      <name val="Arial"/>
      <family val="2"/>
    </font>
    <font>
      <b/>
      <u/>
      <sz val="10"/>
      <name val="Tahoma"/>
      <family val="2"/>
    </font>
    <font>
      <b/>
      <i/>
      <sz val="14"/>
      <name val="Times New Roman"/>
      <family val="1"/>
    </font>
    <font>
      <b/>
      <sz val="11"/>
      <name val="Tahoma"/>
      <family val="2"/>
    </font>
    <font>
      <sz val="12"/>
      <name val="Tahoma"/>
      <family val="2"/>
    </font>
    <font>
      <i/>
      <sz val="11"/>
      <name val="Tahoma"/>
      <family val="2"/>
    </font>
    <font>
      <sz val="11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i/>
      <sz val="9"/>
      <name val="Tahoma"/>
      <family val="2"/>
    </font>
    <font>
      <b/>
      <sz val="14"/>
      <name val="Times New Roman"/>
      <family val="1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0"/>
      <name val="ＭＳ Ｐゴシック"/>
      <family val="2"/>
      <charset val="128"/>
    </font>
    <font>
      <sz val="14"/>
      <name val="ＭＳ 明朝"/>
      <family val="3"/>
      <charset val="128"/>
    </font>
    <font>
      <sz val="11"/>
      <name val="ＭＳ 明朝"/>
      <family val="3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0"/>
      <name val="ＭＳ 明朝"/>
      <family val="3"/>
      <charset val="128"/>
    </font>
    <font>
      <sz val="12"/>
      <name val="ＭＳ 明朝"/>
      <family val="3"/>
      <charset val="128"/>
    </font>
    <font>
      <sz val="11"/>
      <color rgb="FF006100"/>
      <name val="맑은 고딕"/>
      <family val="3"/>
      <charset val="134"/>
      <scheme val="minor"/>
    </font>
    <font>
      <sz val="11"/>
      <color rgb="FF9C0006"/>
      <name val="맑은 고딕"/>
      <family val="3"/>
      <charset val="134"/>
      <scheme val="minor"/>
    </font>
    <font>
      <b/>
      <sz val="18"/>
      <color indexed="56"/>
      <name val="宋体"/>
      <family val="3"/>
      <charset val="134"/>
    </font>
    <font>
      <b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8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indexed="43"/>
      </patternFill>
    </fill>
    <fill>
      <patternFill patternType="solid">
        <fgColor indexed="5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lightGray">
        <fgColor indexed="12"/>
      </patternFill>
    </fill>
    <fill>
      <patternFill patternType="solid">
        <fgColor indexed="4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6"/>
        <bgColor indexed="64"/>
      </patternFill>
    </fill>
    <fill>
      <patternFill patternType="gray125">
        <fgColor indexed="8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15"/>
      </patternFill>
    </fill>
    <fill>
      <patternFill patternType="solid">
        <fgColor indexed="24"/>
        <bgColor indexed="64"/>
      </patternFill>
    </fill>
    <fill>
      <patternFill patternType="gray0625"/>
    </fill>
    <fill>
      <patternFill patternType="solid">
        <fgColor indexed="9"/>
        <bgColor indexed="9"/>
      </patternFill>
    </fill>
    <fill>
      <patternFill patternType="gray0625">
        <fgColor indexed="15"/>
      </patternFill>
    </fill>
    <fill>
      <patternFill patternType="lightGray">
        <fgColor indexed="13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55"/>
      </patternFill>
    </fill>
    <fill>
      <patternFill patternType="solid">
        <fgColor indexed="62"/>
        <bgColor indexed="64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rgb="FFFFC000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thin">
        <color indexed="44"/>
      </bottom>
      <diagonal/>
    </border>
    <border>
      <left style="thin">
        <color indexed="4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22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/>
      <right/>
      <top style="thin">
        <color indexed="48"/>
      </top>
      <bottom style="thin">
        <color indexed="48"/>
      </bottom>
      <diagonal/>
    </border>
  </borders>
  <cellStyleXfs count="4809">
    <xf numFmtId="0" fontId="0" fillId="0" borderId="0"/>
    <xf numFmtId="41" fontId="1" fillId="0" borderId="0" applyFont="0" applyFill="0" applyBorder="0" applyAlignment="0" applyProtection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8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/>
    <xf numFmtId="184" fontId="18" fillId="0" borderId="0" applyFont="0" applyFill="0" applyBorder="0" applyAlignment="0" applyProtection="0">
      <alignment vertical="center"/>
    </xf>
    <xf numFmtId="0" fontId="18" fillId="0" borderId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85" fontId="23" fillId="0" borderId="0"/>
    <xf numFmtId="184" fontId="23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8" fillId="0" borderId="0"/>
    <xf numFmtId="18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38" fillId="0" borderId="0">
      <protection locked="0"/>
    </xf>
    <xf numFmtId="193" fontId="45" fillId="0" borderId="0">
      <alignment horizontal="right"/>
    </xf>
    <xf numFmtId="0" fontId="46" fillId="0" borderId="0"/>
    <xf numFmtId="194" fontId="38" fillId="0" borderId="0"/>
    <xf numFmtId="195" fontId="47" fillId="0" borderId="0"/>
    <xf numFmtId="196" fontId="47" fillId="0" borderId="0"/>
    <xf numFmtId="197" fontId="47" fillId="0" borderId="0"/>
    <xf numFmtId="0" fontId="30" fillId="0" borderId="0"/>
    <xf numFmtId="9" fontId="47" fillId="0" borderId="0"/>
    <xf numFmtId="0" fontId="47" fillId="0" borderId="0"/>
    <xf numFmtId="10" fontId="47" fillId="0" borderId="0"/>
    <xf numFmtId="37" fontId="46" fillId="0" borderId="0"/>
    <xf numFmtId="198" fontId="46" fillId="0" borderId="0"/>
    <xf numFmtId="199" fontId="44" fillId="0" borderId="0" applyFont="0" applyFill="0" applyBorder="0" applyAlignment="0"/>
    <xf numFmtId="180" fontId="30" fillId="0" borderId="0" applyFont="0" applyFill="0" applyBorder="0" applyAlignment="0" applyProtection="0"/>
    <xf numFmtId="200" fontId="48" fillId="0" borderId="0" applyFont="0" applyFill="0" applyBorder="0" applyAlignment="0" applyProtection="0"/>
    <xf numFmtId="41" fontId="49" fillId="0" borderId="0" applyFont="0" applyFill="0" applyBorder="0" applyAlignment="0" applyProtection="0"/>
    <xf numFmtId="40" fontId="48" fillId="0" borderId="0" applyFont="0" applyFill="0" applyBorder="0" applyAlignment="0" applyProtection="0"/>
    <xf numFmtId="38" fontId="48" fillId="0" borderId="0" applyFont="0" applyFill="0" applyBorder="0" applyAlignment="0" applyProtection="0"/>
    <xf numFmtId="0" fontId="30" fillId="0" borderId="0"/>
    <xf numFmtId="49" fontId="44" fillId="0" borderId="0" applyProtection="0">
      <alignment horizontal="left"/>
    </xf>
    <xf numFmtId="0" fontId="32" fillId="0" borderId="0" applyFont="0" applyAlignment="0">
      <alignment horizontal="center" vertical="center"/>
    </xf>
    <xf numFmtId="41" fontId="50" fillId="0" borderId="0" applyFont="0">
      <alignment horizontal="right"/>
    </xf>
    <xf numFmtId="0" fontId="5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2" fillId="0" borderId="0" applyFont="0" applyAlignment="0">
      <alignment horizontal="center" vertical="center"/>
    </xf>
    <xf numFmtId="0" fontId="32" fillId="0" borderId="0" applyFont="0" applyAlignment="0">
      <alignment horizontal="center" vertical="center"/>
    </xf>
    <xf numFmtId="0" fontId="32" fillId="0" borderId="0" applyFont="0" applyAlignment="0">
      <alignment horizontal="center" vertical="center"/>
    </xf>
    <xf numFmtId="0" fontId="32" fillId="0" borderId="0" applyFont="0" applyAlignment="0">
      <alignment horizontal="center" vertical="center"/>
    </xf>
    <xf numFmtId="0" fontId="32" fillId="0" borderId="0" applyFont="0" applyAlignment="0">
      <alignment horizontal="center" vertical="center"/>
    </xf>
    <xf numFmtId="0" fontId="32" fillId="0" borderId="0" applyFont="0" applyAlignment="0">
      <alignment horizontal="center" vertical="center"/>
    </xf>
    <xf numFmtId="0" fontId="5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2" fillId="0" borderId="0" applyFont="0" applyAlignment="0">
      <alignment horizontal="center" vertical="center"/>
    </xf>
    <xf numFmtId="0" fontId="52" fillId="0" borderId="0"/>
    <xf numFmtId="201" fontId="30" fillId="0" borderId="0" applyFont="0" applyFill="0" applyBorder="0" applyAlignment="0" applyProtection="0"/>
    <xf numFmtId="202" fontId="30" fillId="0" borderId="0" applyFont="0" applyFill="0" applyBorder="0" applyAlignment="0" applyProtection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3" fillId="0" borderId="0"/>
    <xf numFmtId="203" fontId="30" fillId="0" borderId="0" applyFont="0" applyFill="0" applyBorder="0" applyAlignment="0" applyProtection="0"/>
    <xf numFmtId="204" fontId="30" fillId="0" borderId="0" applyFont="0" applyFill="0" applyBorder="0" applyAlignment="0" applyProtection="0"/>
    <xf numFmtId="203" fontId="30" fillId="0" borderId="0" applyFont="0" applyFill="0" applyBorder="0" applyAlignment="0" applyProtection="0"/>
    <xf numFmtId="203" fontId="30" fillId="0" borderId="0" applyFont="0" applyFill="0" applyBorder="0" applyAlignment="0" applyProtection="0"/>
    <xf numFmtId="203" fontId="30" fillId="0" borderId="0" applyFont="0" applyFill="0" applyBorder="0" applyAlignment="0" applyProtection="0"/>
    <xf numFmtId="203" fontId="30" fillId="0" borderId="0" applyFont="0" applyFill="0" applyBorder="0" applyAlignment="0" applyProtection="0"/>
    <xf numFmtId="203" fontId="30" fillId="0" borderId="0" applyFont="0" applyFill="0" applyBorder="0" applyAlignment="0" applyProtection="0"/>
    <xf numFmtId="204" fontId="30" fillId="0" borderId="0" applyFont="0" applyFill="0" applyBorder="0" applyAlignment="0" applyProtection="0"/>
    <xf numFmtId="204" fontId="30" fillId="0" borderId="0" applyFont="0" applyFill="0" applyBorder="0" applyAlignment="0" applyProtection="0"/>
    <xf numFmtId="204" fontId="30" fillId="0" borderId="0" applyFont="0" applyFill="0" applyBorder="0" applyAlignment="0" applyProtection="0"/>
    <xf numFmtId="204" fontId="30" fillId="0" borderId="0" applyFont="0" applyFill="0" applyBorder="0" applyAlignment="0" applyProtection="0"/>
    <xf numFmtId="203" fontId="30" fillId="0" borderId="0" applyFont="0" applyFill="0" applyBorder="0" applyAlignment="0" applyProtection="0"/>
    <xf numFmtId="205" fontId="30" fillId="0" borderId="0" applyFont="0" applyFill="0" applyBorder="0" applyAlignment="0" applyProtection="0"/>
    <xf numFmtId="206" fontId="30" fillId="0" borderId="0" applyFont="0" applyFill="0" applyBorder="0" applyAlignment="0" applyProtection="0"/>
    <xf numFmtId="205" fontId="30" fillId="0" borderId="0" applyFont="0" applyFill="0" applyBorder="0" applyAlignment="0" applyProtection="0"/>
    <xf numFmtId="205" fontId="30" fillId="0" borderId="0" applyFont="0" applyFill="0" applyBorder="0" applyAlignment="0" applyProtection="0"/>
    <xf numFmtId="205" fontId="30" fillId="0" borderId="0" applyFont="0" applyFill="0" applyBorder="0" applyAlignment="0" applyProtection="0"/>
    <xf numFmtId="205" fontId="30" fillId="0" borderId="0" applyFont="0" applyFill="0" applyBorder="0" applyAlignment="0" applyProtection="0"/>
    <xf numFmtId="205" fontId="30" fillId="0" borderId="0" applyFont="0" applyFill="0" applyBorder="0" applyAlignment="0" applyProtection="0"/>
    <xf numFmtId="206" fontId="30" fillId="0" borderId="0" applyFont="0" applyFill="0" applyBorder="0" applyAlignment="0" applyProtection="0"/>
    <xf numFmtId="206" fontId="30" fillId="0" borderId="0" applyFont="0" applyFill="0" applyBorder="0" applyAlignment="0" applyProtection="0"/>
    <xf numFmtId="206" fontId="30" fillId="0" borderId="0" applyFont="0" applyFill="0" applyBorder="0" applyAlignment="0" applyProtection="0"/>
    <xf numFmtId="206" fontId="30" fillId="0" borderId="0" applyFont="0" applyFill="0" applyBorder="0" applyAlignment="0" applyProtection="0"/>
    <xf numFmtId="195" fontId="44" fillId="0" borderId="0" applyFont="0" applyFill="0" applyBorder="0" applyAlignment="0" applyProtection="0"/>
    <xf numFmtId="205" fontId="30" fillId="0" borderId="0" applyFont="0" applyFill="0" applyBorder="0" applyAlignment="0" applyProtection="0"/>
    <xf numFmtId="205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39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39" fontId="30" fillId="0" borderId="0" applyFont="0" applyFill="0" applyBorder="0" applyAlignment="0" applyProtection="0"/>
    <xf numFmtId="39" fontId="30" fillId="0" borderId="0" applyFont="0" applyFill="0" applyBorder="0" applyAlignment="0" applyProtection="0"/>
    <xf numFmtId="39" fontId="30" fillId="0" borderId="0" applyFont="0" applyFill="0" applyBorder="0" applyAlignment="0" applyProtection="0"/>
    <xf numFmtId="203" fontId="30" fillId="0" borderId="0" applyFont="0" applyFill="0" applyBorder="0" applyAlignment="0" applyProtection="0"/>
    <xf numFmtId="39" fontId="30" fillId="0" borderId="0" applyFont="0" applyFill="0" applyBorder="0" applyAlignment="0" applyProtection="0"/>
    <xf numFmtId="39" fontId="30" fillId="0" borderId="0" applyFont="0" applyFill="0" applyBorder="0" applyAlignment="0" applyProtection="0"/>
    <xf numFmtId="39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203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3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209" fontId="30" fillId="0" borderId="0" applyFont="0" applyFill="0" applyBorder="0" applyAlignment="0" applyProtection="0"/>
    <xf numFmtId="209" fontId="30" fillId="0" borderId="0" applyFont="0" applyFill="0" applyBorder="0" applyAlignment="0" applyProtection="0"/>
    <xf numFmtId="209" fontId="30" fillId="0" borderId="0" applyFont="0" applyFill="0" applyBorder="0" applyAlignment="0" applyProtection="0"/>
    <xf numFmtId="209" fontId="38" fillId="0" borderId="0" applyFont="0" applyFill="0" applyBorder="0" applyAlignment="0" applyProtection="0"/>
    <xf numFmtId="209" fontId="41" fillId="0" borderId="0" applyFont="0" applyFill="0" applyBorder="0" applyAlignment="0" applyProtection="0"/>
    <xf numFmtId="209" fontId="30" fillId="0" borderId="0" applyFont="0" applyFill="0" applyBorder="0" applyAlignment="0" applyProtection="0"/>
    <xf numFmtId="209" fontId="38" fillId="0" borderId="0" applyFont="0" applyFill="0" applyBorder="0" applyAlignment="0" applyProtection="0"/>
    <xf numFmtId="209" fontId="54" fillId="0" borderId="0" applyFont="0" applyFill="0" applyBorder="0" applyAlignment="0" applyProtection="0"/>
    <xf numFmtId="209" fontId="30" fillId="0" borderId="0" applyFont="0" applyFill="0" applyBorder="0" applyAlignment="0" applyProtection="0"/>
    <xf numFmtId="209" fontId="30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0" fillId="20" borderId="0" applyNumberFormat="0" applyFont="0" applyAlignment="0" applyProtection="0"/>
    <xf numFmtId="0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210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210" fontId="30" fillId="0" borderId="0" applyFont="0" applyFill="0" applyBorder="0" applyAlignment="0" applyProtection="0"/>
    <xf numFmtId="210" fontId="30" fillId="0" borderId="0" applyFont="0" applyFill="0" applyBorder="0" applyAlignment="0" applyProtection="0"/>
    <xf numFmtId="210" fontId="30" fillId="0" borderId="0" applyFont="0" applyFill="0" applyBorder="0" applyAlignment="0" applyProtection="0"/>
    <xf numFmtId="210" fontId="30" fillId="0" borderId="0" applyFont="0" applyFill="0" applyBorder="0" applyAlignment="0" applyProtection="0"/>
    <xf numFmtId="210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212" fontId="44" fillId="0" borderId="0" applyFont="0" applyFill="0" applyBorder="0" applyAlignment="0" applyProtection="0"/>
    <xf numFmtId="210" fontId="30" fillId="0" borderId="0" applyFont="0" applyFill="0" applyBorder="0" applyAlignment="0" applyProtection="0"/>
    <xf numFmtId="210" fontId="30" fillId="0" borderId="0" applyFont="0" applyFill="0" applyBorder="0" applyAlignment="0" applyProtection="0"/>
    <xf numFmtId="213" fontId="30" fillId="0" borderId="0" applyFont="0" applyFill="0" applyBorder="0" applyAlignment="0" applyProtection="0"/>
    <xf numFmtId="214" fontId="30" fillId="0" borderId="0" applyFont="0" applyFill="0" applyBorder="0" applyProtection="0">
      <alignment horizontal="right"/>
    </xf>
    <xf numFmtId="213" fontId="30" fillId="0" borderId="0" applyFont="0" applyFill="0" applyBorder="0" applyAlignment="0" applyProtection="0"/>
    <xf numFmtId="213" fontId="30" fillId="0" borderId="0" applyFont="0" applyFill="0" applyBorder="0" applyAlignment="0" applyProtection="0"/>
    <xf numFmtId="213" fontId="30" fillId="0" borderId="0" applyFont="0" applyFill="0" applyBorder="0" applyAlignment="0" applyProtection="0"/>
    <xf numFmtId="213" fontId="30" fillId="0" borderId="0" applyFont="0" applyFill="0" applyBorder="0" applyAlignment="0" applyProtection="0"/>
    <xf numFmtId="213" fontId="30" fillId="0" borderId="0" applyFont="0" applyFill="0" applyBorder="0" applyAlignment="0" applyProtection="0"/>
    <xf numFmtId="214" fontId="30" fillId="0" borderId="0" applyFont="0" applyFill="0" applyBorder="0" applyProtection="0">
      <alignment horizontal="right"/>
    </xf>
    <xf numFmtId="214" fontId="30" fillId="0" borderId="0" applyFont="0" applyFill="0" applyBorder="0" applyProtection="0">
      <alignment horizontal="right"/>
    </xf>
    <xf numFmtId="214" fontId="30" fillId="0" borderId="0" applyFont="0" applyFill="0" applyBorder="0" applyProtection="0">
      <alignment horizontal="right"/>
    </xf>
    <xf numFmtId="214" fontId="30" fillId="0" borderId="0" applyFont="0" applyFill="0" applyBorder="0" applyProtection="0">
      <alignment horizontal="right"/>
    </xf>
    <xf numFmtId="196" fontId="44" fillId="0" borderId="0" applyFont="0" applyFill="0" applyBorder="0" applyAlignment="0" applyProtection="0"/>
    <xf numFmtId="213" fontId="30" fillId="0" borderId="0" applyFont="0" applyFill="0" applyBorder="0" applyAlignment="0" applyProtection="0"/>
    <xf numFmtId="21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215" fontId="30" fillId="0" borderId="0" applyFont="0" applyFill="0" applyBorder="0" applyAlignment="0" applyProtection="0"/>
    <xf numFmtId="216" fontId="44" fillId="0" borderId="0" applyFont="0" applyFill="0" applyBorder="0" applyAlignment="0" applyProtection="0"/>
    <xf numFmtId="215" fontId="30" fillId="0" borderId="0" applyFont="0" applyFill="0" applyBorder="0" applyAlignment="0" applyProtection="0"/>
    <xf numFmtId="217" fontId="30" fillId="0" borderId="0" applyFont="0" applyFill="0" applyBorder="0" applyAlignment="0" applyProtection="0"/>
    <xf numFmtId="218" fontId="44" fillId="0" borderId="0" applyFont="0" applyFill="0" applyBorder="0" applyAlignment="0" applyProtection="0"/>
    <xf numFmtId="217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 applyFont="0" applyFill="0" applyBorder="0" applyAlignment="0" applyProtection="0"/>
    <xf numFmtId="0" fontId="30" fillId="0" borderId="0"/>
    <xf numFmtId="0" fontId="30" fillId="0" borderId="0"/>
    <xf numFmtId="0" fontId="56" fillId="0" borderId="0">
      <alignment vertical="top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8" fillId="0" borderId="43" applyNumberFormat="0" applyFill="0" applyAlignment="0" applyProtection="0"/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59" fillId="0" borderId="44" applyNumberFormat="0" applyFill="0" applyProtection="0">
      <alignment horizontal="center"/>
    </xf>
    <xf numFmtId="0" fontId="30" fillId="0" borderId="45" applyNumberFormat="0" applyFont="0" applyFill="0" applyAlignment="0" applyProtection="0"/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2" fillId="0" borderId="0"/>
    <xf numFmtId="0" fontId="52" fillId="0" borderId="0"/>
    <xf numFmtId="0" fontId="52" fillId="0" borderId="0"/>
    <xf numFmtId="0" fontId="47" fillId="0" borderId="0"/>
    <xf numFmtId="0" fontId="30" fillId="0" borderId="0"/>
    <xf numFmtId="0" fontId="30" fillId="0" borderId="0"/>
    <xf numFmtId="219" fontId="44" fillId="0" borderId="0" applyFill="0" applyBorder="0" applyProtection="0">
      <alignment horizontal="right"/>
    </xf>
    <xf numFmtId="220" fontId="44" fillId="0" borderId="0" applyFill="0" applyBorder="0" applyProtection="0">
      <alignment horizontal="right"/>
    </xf>
    <xf numFmtId="221" fontId="61" fillId="0" borderId="0" applyFill="0" applyBorder="0" applyProtection="0">
      <alignment horizontal="center"/>
    </xf>
    <xf numFmtId="222" fontId="61" fillId="0" borderId="0" applyFill="0" applyBorder="0" applyProtection="0">
      <alignment horizontal="center"/>
    </xf>
    <xf numFmtId="223" fontId="62" fillId="0" borderId="0" applyFill="0" applyBorder="0" applyProtection="0">
      <alignment horizontal="right"/>
    </xf>
    <xf numFmtId="224" fontId="44" fillId="0" borderId="0" applyFill="0" applyBorder="0" applyProtection="0">
      <alignment horizontal="right"/>
    </xf>
    <xf numFmtId="225" fontId="44" fillId="0" borderId="0" applyFill="0" applyBorder="0" applyProtection="0">
      <alignment horizontal="right"/>
    </xf>
    <xf numFmtId="226" fontId="44" fillId="0" borderId="0" applyFill="0" applyBorder="0" applyProtection="0">
      <alignment horizontal="right"/>
    </xf>
    <xf numFmtId="227" fontId="44" fillId="0" borderId="0" applyFill="0" applyBorder="0" applyProtection="0">
      <alignment horizontal="right"/>
    </xf>
    <xf numFmtId="0" fontId="47" fillId="0" borderId="0"/>
    <xf numFmtId="181" fontId="44" fillId="0" borderId="0" applyFont="0" applyFill="0" applyBorder="0" applyAlignment="0" applyProtection="0"/>
    <xf numFmtId="180" fontId="44" fillId="0" borderId="0" applyFont="0" applyFill="0" applyBorder="0" applyAlignment="0" applyProtection="0"/>
    <xf numFmtId="228" fontId="47" fillId="0" borderId="0" applyFont="0" applyFill="0" applyBorder="0" applyAlignment="0" applyProtection="0"/>
    <xf numFmtId="229" fontId="47" fillId="0" borderId="0"/>
    <xf numFmtId="230" fontId="47" fillId="0" borderId="0"/>
    <xf numFmtId="231" fontId="47" fillId="0" borderId="0"/>
    <xf numFmtId="232" fontId="47" fillId="0" borderId="0" applyFont="0" applyFill="0" applyBorder="0" applyAlignment="0" applyProtection="0"/>
    <xf numFmtId="0" fontId="47" fillId="0" borderId="0">
      <protection locked="0"/>
    </xf>
    <xf numFmtId="0" fontId="44" fillId="0" borderId="0"/>
    <xf numFmtId="0" fontId="44" fillId="0" borderId="0"/>
    <xf numFmtId="0" fontId="63" fillId="21" borderId="0" applyNumberFormat="0" applyBorder="0" applyAlignment="0" applyProtection="0">
      <alignment vertical="center"/>
    </xf>
    <xf numFmtId="231" fontId="47" fillId="0" borderId="0"/>
    <xf numFmtId="23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234" fontId="64" fillId="0" borderId="0"/>
    <xf numFmtId="235" fontId="65" fillId="0" borderId="0" applyFont="0" applyFill="0" applyBorder="0" applyAlignment="0" applyProtection="0"/>
    <xf numFmtId="2" fontId="64" fillId="0" borderId="0"/>
    <xf numFmtId="10" fontId="65" fillId="0" borderId="0" applyFont="0" applyFill="0" applyBorder="0" applyAlignment="0" applyProtection="0"/>
    <xf numFmtId="0" fontId="66" fillId="0" borderId="45" applyFont="0" applyFill="0" applyBorder="0" applyAlignment="0" applyProtection="0"/>
    <xf numFmtId="231" fontId="47" fillId="0" borderId="0"/>
    <xf numFmtId="236" fontId="64" fillId="0" borderId="0"/>
    <xf numFmtId="231" fontId="47" fillId="0" borderId="0"/>
    <xf numFmtId="231" fontId="47" fillId="0" borderId="0"/>
    <xf numFmtId="3" fontId="46" fillId="0" borderId="0"/>
    <xf numFmtId="237" fontId="46" fillId="0" borderId="0" applyBorder="0"/>
    <xf numFmtId="203" fontId="67" fillId="0" borderId="0"/>
    <xf numFmtId="238" fontId="68" fillId="0" borderId="1" applyNumberFormat="0" applyFont="0" applyFill="0" applyBorder="0" applyAlignment="0"/>
    <xf numFmtId="0" fontId="69" fillId="22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5" borderId="0" applyNumberFormat="0" applyBorder="0" applyAlignment="0" applyProtection="0">
      <alignment vertical="center"/>
    </xf>
    <xf numFmtId="0" fontId="69" fillId="26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47" fillId="0" borderId="0"/>
    <xf numFmtId="0" fontId="47" fillId="0" borderId="0">
      <protection locked="0"/>
    </xf>
    <xf numFmtId="0" fontId="69" fillId="28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25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37" fontId="71" fillId="0" borderId="0">
      <alignment horizontal="center"/>
    </xf>
    <xf numFmtId="0" fontId="47" fillId="0" borderId="0"/>
    <xf numFmtId="0" fontId="72" fillId="0" borderId="0"/>
    <xf numFmtId="0" fontId="73" fillId="0" borderId="0" applyFont="0">
      <alignment horizontal="centerContinuous"/>
    </xf>
    <xf numFmtId="239" fontId="74" fillId="0" borderId="0"/>
    <xf numFmtId="0" fontId="30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67" fillId="0" borderId="46" applyNumberFormat="0" applyFill="0" applyAlignment="0" applyProtection="0"/>
    <xf numFmtId="0" fontId="44" fillId="0" borderId="0">
      <alignment horizontal="centerContinuous"/>
    </xf>
    <xf numFmtId="0" fontId="44" fillId="0" borderId="0">
      <alignment horizontal="centerContinuous"/>
    </xf>
    <xf numFmtId="0" fontId="73" fillId="0" borderId="47" applyFont="0">
      <alignment horizontal="centerContinuous"/>
    </xf>
    <xf numFmtId="0" fontId="45" fillId="0" borderId="0"/>
    <xf numFmtId="195" fontId="47" fillId="0" borderId="0"/>
    <xf numFmtId="196" fontId="47" fillId="0" borderId="0"/>
    <xf numFmtId="197" fontId="47" fillId="0" borderId="0"/>
    <xf numFmtId="9" fontId="76" fillId="0" borderId="0"/>
    <xf numFmtId="0" fontId="76" fillId="0" borderId="0"/>
    <xf numFmtId="0" fontId="76" fillId="0" borderId="0"/>
    <xf numFmtId="2" fontId="77" fillId="35" borderId="0">
      <alignment vertical="center"/>
    </xf>
    <xf numFmtId="229" fontId="47" fillId="0" borderId="0"/>
    <xf numFmtId="230" fontId="47" fillId="0" borderId="0"/>
    <xf numFmtId="231" fontId="47" fillId="0" borderId="0"/>
    <xf numFmtId="0" fontId="76" fillId="0" borderId="0"/>
    <xf numFmtId="0" fontId="76" fillId="0" borderId="0"/>
    <xf numFmtId="0" fontId="30" fillId="0" borderId="0"/>
    <xf numFmtId="0" fontId="47" fillId="0" borderId="0"/>
    <xf numFmtId="38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36" borderId="0" applyNumberFormat="0" applyFill="0" applyBorder="0" applyAlignment="0" applyProtection="0">
      <protection locked="0"/>
    </xf>
    <xf numFmtId="240" fontId="67" fillId="0" borderId="0" applyNumberFormat="0" applyFont="0" applyAlignment="0"/>
    <xf numFmtId="0" fontId="81" fillId="0" borderId="0" applyNumberFormat="0" applyFill="0" applyBorder="0" applyAlignment="0" applyProtection="0"/>
    <xf numFmtId="241" fontId="47" fillId="0" borderId="0"/>
    <xf numFmtId="0" fontId="47" fillId="0" borderId="0"/>
    <xf numFmtId="0" fontId="82" fillId="0" borderId="0" applyNumberFormat="0" applyFill="0" applyBorder="0" applyAlignment="0" applyProtection="0"/>
    <xf numFmtId="0" fontId="73" fillId="0" borderId="47" applyNumberFormat="0" applyFill="0" applyAlignment="0" applyProtection="0"/>
    <xf numFmtId="0" fontId="83" fillId="36" borderId="9" applyNumberFormat="0" applyFill="0" applyBorder="0" applyAlignment="0" applyProtection="0">
      <protection locked="0"/>
    </xf>
    <xf numFmtId="0" fontId="51" fillId="0" borderId="40" applyNumberFormat="0" applyFont="0" applyFill="0" applyAlignment="0" applyProtection="0"/>
    <xf numFmtId="0" fontId="32" fillId="0" borderId="0">
      <alignment horizontal="center" vertical="center"/>
    </xf>
    <xf numFmtId="242" fontId="44" fillId="0" borderId="48" applyNumberFormat="0" applyFont="0" applyAlignment="0" applyProtection="0"/>
    <xf numFmtId="243" fontId="84" fillId="0" borderId="0">
      <alignment horizontal="right"/>
    </xf>
    <xf numFmtId="0" fontId="85" fillId="0" borderId="0" applyFont="0">
      <alignment horizontal="centerContinuous"/>
    </xf>
    <xf numFmtId="0" fontId="78" fillId="0" borderId="47" applyNumberFormat="0" applyFont="0" applyFill="0" applyAlignment="0" applyProtection="0"/>
    <xf numFmtId="178" fontId="86" fillId="0" borderId="45"/>
    <xf numFmtId="0" fontId="45" fillId="0" borderId="39"/>
    <xf numFmtId="244" fontId="38" fillId="0" borderId="0" applyAlignment="0" applyProtection="0"/>
    <xf numFmtId="49" fontId="87" fillId="0" borderId="49" applyNumberFormat="0" applyAlignment="0" applyProtection="0">
      <alignment horizontal="left" wrapText="1"/>
    </xf>
    <xf numFmtId="1" fontId="88" fillId="0" borderId="0" applyFont="0" applyFill="0" applyBorder="0" applyAlignment="0" applyProtection="0"/>
    <xf numFmtId="241" fontId="30" fillId="0" borderId="39"/>
    <xf numFmtId="43" fontId="30" fillId="0" borderId="39"/>
    <xf numFmtId="0" fontId="47" fillId="0" borderId="47">
      <alignment horizontal="centerContinuous"/>
    </xf>
    <xf numFmtId="0" fontId="30" fillId="0" borderId="40" applyBorder="0">
      <alignment horizontal="centerContinuous"/>
    </xf>
    <xf numFmtId="245" fontId="47" fillId="0" borderId="0" applyFont="0" applyFill="0" applyBorder="0" applyAlignment="0" applyProtection="0"/>
    <xf numFmtId="0" fontId="89" fillId="0" borderId="0" applyNumberFormat="0" applyFill="0" applyBorder="0" applyAlignment="0" applyProtection="0"/>
    <xf numFmtId="246" fontId="47" fillId="0" borderId="0"/>
    <xf numFmtId="247" fontId="47" fillId="0" borderId="0"/>
    <xf numFmtId="248" fontId="4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6" fillId="0" borderId="0"/>
    <xf numFmtId="0" fontId="90" fillId="0" borderId="0"/>
    <xf numFmtId="0" fontId="90" fillId="0" borderId="0"/>
    <xf numFmtId="0" fontId="90" fillId="0" borderId="0"/>
    <xf numFmtId="0" fontId="45" fillId="0" borderId="0">
      <alignment horizontal="right"/>
    </xf>
    <xf numFmtId="0" fontId="45" fillId="0" borderId="0">
      <alignment horizontal="right"/>
    </xf>
    <xf numFmtId="0" fontId="45" fillId="0" borderId="0">
      <alignment horizontal="right"/>
    </xf>
    <xf numFmtId="43" fontId="30" fillId="0" borderId="0">
      <alignment horizontal="right"/>
    </xf>
    <xf numFmtId="0" fontId="90" fillId="0" borderId="0"/>
    <xf numFmtId="0" fontId="90" fillId="0" borderId="0"/>
    <xf numFmtId="14" fontId="30" fillId="0" borderId="0"/>
    <xf numFmtId="14" fontId="30" fillId="0" borderId="0"/>
    <xf numFmtId="0" fontId="90" fillId="0" borderId="0"/>
    <xf numFmtId="14" fontId="30" fillId="0" borderId="0"/>
    <xf numFmtId="43" fontId="45" fillId="0" borderId="0">
      <alignment horizontal="right"/>
    </xf>
    <xf numFmtId="37" fontId="47" fillId="0" borderId="0">
      <alignment horizontal="center"/>
    </xf>
    <xf numFmtId="0" fontId="73" fillId="0" borderId="0"/>
    <xf numFmtId="249" fontId="30" fillId="0" borderId="0" applyFill="0" applyBorder="0" applyAlignment="0"/>
    <xf numFmtId="249" fontId="30" fillId="0" borderId="0" applyFill="0" applyBorder="0" applyAlignment="0"/>
    <xf numFmtId="250" fontId="30" fillId="0" borderId="0" applyFill="0" applyBorder="0" applyAlignment="0"/>
    <xf numFmtId="251" fontId="30" fillId="0" borderId="0" applyFill="0" applyBorder="0" applyAlignment="0"/>
    <xf numFmtId="249" fontId="30" fillId="0" borderId="0" applyFill="0" applyBorder="0" applyAlignment="0"/>
    <xf numFmtId="249" fontId="30" fillId="0" borderId="0" applyFill="0" applyBorder="0" applyAlignment="0"/>
    <xf numFmtId="249" fontId="30" fillId="0" borderId="0" applyFill="0" applyBorder="0" applyAlignment="0"/>
    <xf numFmtId="249" fontId="30" fillId="0" borderId="0" applyFill="0" applyBorder="0" applyAlignment="0"/>
    <xf numFmtId="252" fontId="91" fillId="37" borderId="0" applyNumberFormat="0" applyFont="0" applyBorder="0" applyAlignment="0">
      <alignment horizontal="left"/>
    </xf>
    <xf numFmtId="0" fontId="92" fillId="0" borderId="0"/>
    <xf numFmtId="37" fontId="44" fillId="0" borderId="0"/>
    <xf numFmtId="253" fontId="30" fillId="0" borderId="0"/>
    <xf numFmtId="254" fontId="30" fillId="0" borderId="0"/>
    <xf numFmtId="0" fontId="73" fillId="0" borderId="47" applyNumberFormat="0" applyFont="0" applyFill="0" applyProtection="0">
      <alignment horizontal="centerContinuous" vertical="center"/>
    </xf>
    <xf numFmtId="0" fontId="93" fillId="0" borderId="0"/>
    <xf numFmtId="3" fontId="41" fillId="0" borderId="1"/>
    <xf numFmtId="3" fontId="41" fillId="0" borderId="1"/>
    <xf numFmtId="3" fontId="41" fillId="0" borderId="1"/>
    <xf numFmtId="1" fontId="94" fillId="0" borderId="0"/>
    <xf numFmtId="9" fontId="64" fillId="0" borderId="0"/>
    <xf numFmtId="3" fontId="64" fillId="0" borderId="0"/>
    <xf numFmtId="203" fontId="95" fillId="0" borderId="0"/>
    <xf numFmtId="0" fontId="96" fillId="0" borderId="0"/>
    <xf numFmtId="0" fontId="47" fillId="0" borderId="0"/>
    <xf numFmtId="0" fontId="6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241" fontId="47" fillId="0" borderId="0"/>
    <xf numFmtId="0" fontId="98" fillId="0" borderId="47" applyNumberFormat="0" applyFill="0" applyBorder="0" applyAlignment="0" applyProtection="0">
      <alignment horizontal="center"/>
    </xf>
    <xf numFmtId="0" fontId="99" fillId="0" borderId="47" applyNumberFormat="0" applyFill="0" applyProtection="0">
      <alignment horizontal="center"/>
    </xf>
    <xf numFmtId="0" fontId="30" fillId="0" borderId="0">
      <alignment horizontal="center" wrapText="1"/>
      <protection hidden="1"/>
    </xf>
    <xf numFmtId="0" fontId="73" fillId="0" borderId="0" applyNumberFormat="0" applyFill="0" applyBorder="0" applyProtection="0">
      <alignment horizontal="center" vertical="center"/>
    </xf>
    <xf numFmtId="0" fontId="100" fillId="0" borderId="0" applyNumberFormat="0" applyFill="0" applyBorder="0" applyProtection="0">
      <alignment horizontal="right"/>
    </xf>
    <xf numFmtId="0" fontId="101" fillId="38" borderId="0">
      <alignment horizontal="left"/>
    </xf>
    <xf numFmtId="0" fontId="102" fillId="38" borderId="0">
      <alignment horizontal="right"/>
    </xf>
    <xf numFmtId="0" fontId="83" fillId="39" borderId="0">
      <alignment horizontal="center"/>
    </xf>
    <xf numFmtId="0" fontId="102" fillId="38" borderId="0">
      <alignment horizontal="right"/>
    </xf>
    <xf numFmtId="0" fontId="103" fillId="39" borderId="0">
      <alignment horizontal="left"/>
    </xf>
    <xf numFmtId="242" fontId="44" fillId="0" borderId="50">
      <alignment horizontal="centerContinuous"/>
    </xf>
    <xf numFmtId="255" fontId="44" fillId="0" borderId="51" applyBorder="0">
      <alignment horizontal="right"/>
    </xf>
    <xf numFmtId="256" fontId="104" fillId="0" borderId="0"/>
    <xf numFmtId="256" fontId="104" fillId="0" borderId="0"/>
    <xf numFmtId="256" fontId="104" fillId="0" borderId="0"/>
    <xf numFmtId="256" fontId="104" fillId="0" borderId="0"/>
    <xf numFmtId="256" fontId="104" fillId="0" borderId="0"/>
    <xf numFmtId="256" fontId="104" fillId="0" borderId="0"/>
    <xf numFmtId="256" fontId="104" fillId="0" borderId="0"/>
    <xf numFmtId="256" fontId="104" fillId="0" borderId="0"/>
    <xf numFmtId="239" fontId="51" fillId="0" borderId="0"/>
    <xf numFmtId="191" fontId="41" fillId="0" borderId="0" applyFont="0" applyFill="0" applyBorder="0" applyAlignment="0" applyProtection="0"/>
    <xf numFmtId="191" fontId="41" fillId="0" borderId="0" applyFont="0" applyFill="0" applyBorder="0" applyAlignment="0" applyProtection="0">
      <alignment vertical="center"/>
    </xf>
    <xf numFmtId="249" fontId="30" fillId="0" borderId="0" applyFont="0" applyFill="0" applyBorder="0" applyAlignment="0" applyProtection="0"/>
    <xf numFmtId="0" fontId="105" fillId="0" borderId="0" applyFont="0" applyFill="0" applyBorder="0" applyAlignment="0" applyProtection="0"/>
    <xf numFmtId="40" fontId="105" fillId="0" borderId="0" applyFont="0" applyFill="0" applyBorder="0" applyAlignment="0" applyProtection="0"/>
    <xf numFmtId="3" fontId="106" fillId="0" borderId="0" applyFont="0" applyFill="0" applyBorder="0" applyAlignment="0" applyProtection="0"/>
    <xf numFmtId="257" fontId="51" fillId="0" borderId="0" applyFont="0" applyFill="0" applyBorder="0" applyAlignment="0" applyProtection="0"/>
    <xf numFmtId="4" fontId="106" fillId="0" borderId="0" applyFont="0" applyFill="0" applyBorder="0" applyAlignment="0" applyProtection="0"/>
    <xf numFmtId="258" fontId="107" fillId="0" borderId="0" applyFont="0" applyFill="0" applyBorder="0" applyAlignment="0" applyProtection="0">
      <alignment horizontal="right"/>
    </xf>
    <xf numFmtId="184" fontId="2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184" fontId="266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266" fillId="0" borderId="0" applyFont="0" applyFill="0" applyBorder="0" applyAlignment="0" applyProtection="0"/>
    <xf numFmtId="184" fontId="108" fillId="0" borderId="0" applyFont="0" applyFill="0" applyBorder="0" applyAlignment="0" applyProtection="0">
      <alignment vertical="center"/>
    </xf>
    <xf numFmtId="184" fontId="266" fillId="0" borderId="0" applyFont="0" applyFill="0" applyBorder="0" applyAlignment="0" applyProtection="0">
      <alignment vertical="center"/>
    </xf>
    <xf numFmtId="184" fontId="41" fillId="0" borderId="0" applyFont="0" applyFill="0" applyBorder="0" applyAlignment="0" applyProtection="0"/>
    <xf numFmtId="184" fontId="41" fillId="0" borderId="0" applyFont="0" applyFill="0" applyBorder="0" applyAlignment="0" applyProtection="0">
      <alignment vertical="center"/>
    </xf>
    <xf numFmtId="259" fontId="30" fillId="0" borderId="0"/>
    <xf numFmtId="203" fontId="67" fillId="0" borderId="0"/>
    <xf numFmtId="37" fontId="65" fillId="0" borderId="0" applyFont="0" applyFill="0" applyBorder="0" applyAlignment="0" applyProtection="0"/>
    <xf numFmtId="260" fontId="41" fillId="0" borderId="0" applyFont="0" applyFill="0" applyBorder="0" applyAlignment="0" applyProtection="0"/>
    <xf numFmtId="39" fontId="65" fillId="0" borderId="0" applyFont="0" applyFill="0" applyBorder="0" applyAlignment="0" applyProtection="0"/>
    <xf numFmtId="37" fontId="109" fillId="0" borderId="0" applyFont="0" applyFill="0" applyBorder="0" applyAlignment="0" applyProtection="0"/>
    <xf numFmtId="39" fontId="109" fillId="0" borderId="0" applyFont="0" applyFill="0" applyBorder="0" applyAlignment="0" applyProtection="0"/>
    <xf numFmtId="261" fontId="110" fillId="0" borderId="0">
      <protection locked="0"/>
    </xf>
    <xf numFmtId="0" fontId="111" fillId="0" borderId="0"/>
    <xf numFmtId="0" fontId="52" fillId="0" borderId="0"/>
    <xf numFmtId="3" fontId="30" fillId="0" borderId="0" applyFont="0" applyFill="0" applyBorder="0" applyAlignment="0" applyProtection="0"/>
    <xf numFmtId="0" fontId="111" fillId="0" borderId="0"/>
    <xf numFmtId="0" fontId="52" fillId="0" borderId="0"/>
    <xf numFmtId="241" fontId="50" fillId="0" borderId="0"/>
    <xf numFmtId="262" fontId="51" fillId="0" borderId="0" applyFont="0" applyFill="0" applyBorder="0" applyAlignment="0" applyProtection="0"/>
    <xf numFmtId="39" fontId="30" fillId="0" borderId="0" applyNumberFormat="0" applyFont="0" applyAlignment="0"/>
    <xf numFmtId="0" fontId="112" fillId="40" borderId="0">
      <alignment horizontal="center" vertical="center" wrapText="1"/>
    </xf>
    <xf numFmtId="242" fontId="113" fillId="0" borderId="0" applyFill="0" applyBorder="0">
      <alignment horizontal="left"/>
    </xf>
    <xf numFmtId="0" fontId="114" fillId="0" borderId="0" applyNumberFormat="0" applyAlignment="0">
      <alignment horizontal="left"/>
    </xf>
    <xf numFmtId="177" fontId="64" fillId="0" borderId="0" applyFont="0" applyFill="0" applyBorder="0" applyAlignment="0" applyProtection="0"/>
    <xf numFmtId="242" fontId="44" fillId="0" borderId="40"/>
    <xf numFmtId="263" fontId="30" fillId="0" borderId="0" applyFill="0" applyBorder="0">
      <alignment horizontal="right"/>
      <protection locked="0"/>
    </xf>
    <xf numFmtId="242" fontId="44" fillId="0" borderId="0"/>
    <xf numFmtId="264" fontId="115" fillId="0" borderId="0"/>
    <xf numFmtId="265" fontId="51" fillId="0" borderId="0" applyFont="0" applyFill="0" applyBorder="0" applyAlignment="0" applyProtection="0">
      <protection locked="0"/>
    </xf>
    <xf numFmtId="266" fontId="51" fillId="0" borderId="0" applyFont="0" applyFill="0" applyBorder="0" applyAlignment="0" applyProtection="0">
      <protection locked="0"/>
    </xf>
    <xf numFmtId="233" fontId="82" fillId="0" borderId="1"/>
    <xf numFmtId="267" fontId="51" fillId="0" borderId="0"/>
    <xf numFmtId="249" fontId="30" fillId="0" borderId="0" applyFont="0" applyFill="0" applyBorder="0" applyAlignment="0" applyProtection="0"/>
    <xf numFmtId="0" fontId="116" fillId="0" borderId="0" applyFont="0" applyFill="0" applyBorder="0" applyAlignment="0" applyProtection="0"/>
    <xf numFmtId="0" fontId="116" fillId="0" borderId="0" applyFont="0" applyFill="0" applyBorder="0" applyAlignment="0" applyProtection="0"/>
    <xf numFmtId="177" fontId="106" fillId="0" borderId="0" applyFont="0" applyFill="0" applyBorder="0" applyAlignment="0" applyProtection="0"/>
    <xf numFmtId="179" fontId="106" fillId="0" borderId="0" applyFont="0" applyFill="0" applyBorder="0" applyAlignment="0" applyProtection="0"/>
    <xf numFmtId="257" fontId="107" fillId="0" borderId="0" applyFont="0" applyFill="0" applyBorder="0" applyAlignment="0" applyProtection="0">
      <alignment horizontal="right"/>
    </xf>
    <xf numFmtId="268" fontId="44" fillId="0" borderId="0" applyFont="0" applyFill="0" applyBorder="0" applyProtection="0">
      <alignment horizontal="right"/>
    </xf>
    <xf numFmtId="24" fontId="109" fillId="0" borderId="0" applyFont="0" applyFill="0" applyBorder="0" applyAlignment="0" applyProtection="0"/>
    <xf numFmtId="25" fontId="109" fillId="0" borderId="0" applyFont="0" applyFill="0" applyBorder="0" applyAlignment="0" applyProtection="0"/>
    <xf numFmtId="176" fontId="65" fillId="0" borderId="0" applyFont="0" applyFill="0" applyBorder="0" applyAlignment="0" applyProtection="0"/>
    <xf numFmtId="178" fontId="65" fillId="0" borderId="0" applyFont="0" applyFill="0" applyBorder="0" applyAlignment="0" applyProtection="0"/>
    <xf numFmtId="269" fontId="109" fillId="0" borderId="0" applyFont="0" applyFill="0" applyBorder="0" applyAlignment="0" applyProtection="0"/>
    <xf numFmtId="270" fontId="110" fillId="0" borderId="0">
      <protection locked="0"/>
    </xf>
    <xf numFmtId="271" fontId="30" fillId="0" borderId="0"/>
    <xf numFmtId="49" fontId="263" fillId="41" borderId="0">
      <alignment vertical="center"/>
      <protection locked="0"/>
    </xf>
    <xf numFmtId="272" fontId="51" fillId="0" borderId="0" applyFont="0" applyFill="0" applyBorder="0" applyAlignment="0" applyProtection="0"/>
    <xf numFmtId="178" fontId="117" fillId="0" borderId="0" applyFill="0" applyBorder="0" applyProtection="0"/>
    <xf numFmtId="193" fontId="76" fillId="0" borderId="0">
      <alignment horizontal="right"/>
    </xf>
    <xf numFmtId="273" fontId="106" fillId="0" borderId="0" applyFont="0" applyFill="0" applyBorder="0" applyAlignment="0" applyProtection="0"/>
    <xf numFmtId="274" fontId="47" fillId="0" borderId="0" applyFont="0" applyFill="0" applyBorder="0" applyAlignment="0" applyProtection="0"/>
    <xf numFmtId="0" fontId="107" fillId="0" borderId="0" applyNumberFormat="0">
      <alignment horizontal="right"/>
    </xf>
    <xf numFmtId="0" fontId="110" fillId="0" borderId="0">
      <protection locked="0"/>
    </xf>
    <xf numFmtId="17" fontId="118" fillId="0" borderId="0" applyFill="0" applyBorder="0">
      <alignment horizontal="right"/>
    </xf>
    <xf numFmtId="275" fontId="107" fillId="0" borderId="0" applyFont="0" applyFill="0" applyBorder="0" applyAlignment="0" applyProtection="0"/>
    <xf numFmtId="14" fontId="56" fillId="0" borderId="0" applyFill="0" applyBorder="0" applyAlignment="0"/>
    <xf numFmtId="242" fontId="51" fillId="0" borderId="0" applyFont="0" applyFill="0" applyBorder="0" applyProtection="0">
      <alignment horizontal="right"/>
    </xf>
    <xf numFmtId="14" fontId="119" fillId="0" borderId="0">
      <alignment horizontal="right"/>
      <protection locked="0"/>
    </xf>
    <xf numFmtId="0" fontId="51" fillId="0" borderId="0"/>
    <xf numFmtId="14" fontId="64" fillId="0" borderId="0"/>
    <xf numFmtId="241" fontId="76" fillId="0" borderId="0"/>
    <xf numFmtId="276" fontId="76" fillId="0" borderId="0"/>
    <xf numFmtId="334" fontId="67" fillId="42" borderId="0">
      <alignment horizontal="right"/>
      <protection locked="0"/>
    </xf>
    <xf numFmtId="38" fontId="64" fillId="0" borderId="52">
      <alignment vertical="center"/>
    </xf>
    <xf numFmtId="37" fontId="86" fillId="0" borderId="53"/>
    <xf numFmtId="277" fontId="30" fillId="0" borderId="0" applyFont="0" applyFill="0" applyBorder="0" applyAlignment="0" applyProtection="0"/>
    <xf numFmtId="278" fontId="30" fillId="0" borderId="0" applyFont="0" applyFill="0" applyBorder="0" applyAlignment="0" applyProtection="0"/>
    <xf numFmtId="0" fontId="110" fillId="0" borderId="0">
      <protection locked="0"/>
    </xf>
    <xf numFmtId="0" fontId="93" fillId="0" borderId="0"/>
    <xf numFmtId="235" fontId="120" fillId="0" borderId="0"/>
    <xf numFmtId="178" fontId="67" fillId="0" borderId="0"/>
    <xf numFmtId="252" fontId="51" fillId="0" borderId="0"/>
    <xf numFmtId="252" fontId="84" fillId="0" borderId="0">
      <protection locked="0"/>
    </xf>
    <xf numFmtId="178" fontId="51" fillId="0" borderId="0"/>
    <xf numFmtId="279" fontId="121" fillId="0" borderId="0" applyFont="0" applyFill="0" applyBorder="0" applyAlignment="0" applyProtection="0"/>
    <xf numFmtId="280" fontId="107" fillId="0" borderId="54" applyNumberFormat="0" applyFont="0" applyFill="0" applyAlignment="0" applyProtection="0"/>
    <xf numFmtId="1" fontId="122" fillId="0" borderId="0" applyFill="0" applyBorder="0" applyAlignment="0" applyProtection="0"/>
    <xf numFmtId="239" fontId="123" fillId="36" borderId="0">
      <alignment horizontal="right" vertical="center"/>
    </xf>
    <xf numFmtId="235" fontId="124" fillId="0" borderId="0">
      <alignment horizontal="right"/>
    </xf>
    <xf numFmtId="193" fontId="76" fillId="0" borderId="39">
      <alignment horizontal="right"/>
    </xf>
    <xf numFmtId="0" fontId="125" fillId="0" borderId="0">
      <protection locked="0"/>
    </xf>
    <xf numFmtId="0" fontId="125" fillId="0" borderId="0">
      <protection locked="0"/>
    </xf>
    <xf numFmtId="249" fontId="30" fillId="0" borderId="0" applyFill="0" applyBorder="0" applyAlignment="0"/>
    <xf numFmtId="249" fontId="30" fillId="0" borderId="0" applyFill="0" applyBorder="0" applyAlignment="0"/>
    <xf numFmtId="249" fontId="30" fillId="0" borderId="0" applyFill="0" applyBorder="0" applyAlignment="0"/>
    <xf numFmtId="249" fontId="30" fillId="0" borderId="0" applyFill="0" applyBorder="0" applyAlignment="0"/>
    <xf numFmtId="249" fontId="30" fillId="0" borderId="0" applyFill="0" applyBorder="0" applyAlignment="0"/>
    <xf numFmtId="0" fontId="126" fillId="0" borderId="0" applyNumberFormat="0" applyAlignment="0">
      <alignment horizontal="left"/>
    </xf>
    <xf numFmtId="281" fontId="64" fillId="0" borderId="0" applyFont="0" applyFill="0" applyBorder="0" applyAlignment="0" applyProtection="0"/>
    <xf numFmtId="0" fontId="47" fillId="0" borderId="0" applyNumberFormat="0" applyFill="0" applyBorder="0" applyAlignment="0" applyProtection="0"/>
    <xf numFmtId="282" fontId="127" fillId="0" borderId="55">
      <alignment horizontal="left"/>
    </xf>
    <xf numFmtId="0" fontId="128" fillId="0" borderId="0" applyFill="0" applyBorder="0">
      <alignment horizontal="left" vertical="top" wrapText="1"/>
    </xf>
    <xf numFmtId="193" fontId="45" fillId="0" borderId="0">
      <alignment horizontal="right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241" fontId="45" fillId="0" borderId="0">
      <alignment horizontal="right"/>
    </xf>
    <xf numFmtId="276" fontId="45" fillId="0" borderId="0">
      <alignment horizontal="right"/>
    </xf>
    <xf numFmtId="0" fontId="110" fillId="0" borderId="0">
      <protection locked="0"/>
    </xf>
    <xf numFmtId="43" fontId="30" fillId="0" borderId="0" applyBorder="0"/>
    <xf numFmtId="283" fontId="30" fillId="0" borderId="0" applyNumberFormat="0"/>
    <xf numFmtId="43" fontId="30" fillId="0" borderId="0" applyBorder="0"/>
    <xf numFmtId="0" fontId="110" fillId="0" borderId="0">
      <protection locked="0"/>
    </xf>
    <xf numFmtId="1" fontId="106" fillId="0" borderId="0" applyFont="0" applyFill="0" applyBorder="0" applyAlignment="0" applyProtection="0"/>
    <xf numFmtId="234" fontId="106" fillId="0" borderId="0" applyFont="0" applyFill="0" applyBorder="0" applyAlignment="0" applyProtection="0"/>
    <xf numFmtId="2" fontId="106" fillId="0" borderId="0" applyFont="0" applyFill="0" applyBorder="0" applyAlignment="0" applyProtection="0"/>
    <xf numFmtId="284" fontId="110" fillId="0" borderId="0">
      <protection locked="0"/>
    </xf>
    <xf numFmtId="285" fontId="117" fillId="0" borderId="0" applyFill="0" applyBorder="0" applyProtection="0"/>
    <xf numFmtId="286" fontId="45" fillId="0" borderId="0" applyProtection="0">
      <alignment horizontal="left"/>
    </xf>
    <xf numFmtId="0" fontId="129" fillId="0" borderId="0" applyFill="0" applyBorder="0" applyProtection="0">
      <alignment horizontal="left"/>
    </xf>
    <xf numFmtId="0" fontId="130" fillId="0" borderId="0" applyNumberFormat="0" applyFill="0" applyBorder="0" applyAlignment="0" applyProtection="0"/>
    <xf numFmtId="0" fontId="263" fillId="43" borderId="0">
      <alignment horizontal="right" vertical="center"/>
      <protection locked="0"/>
    </xf>
    <xf numFmtId="287" fontId="67" fillId="36" borderId="1" applyFont="0" applyBorder="0" applyAlignment="0" applyProtection="0">
      <alignment vertical="top"/>
    </xf>
    <xf numFmtId="38" fontId="67" fillId="44" borderId="0" applyNumberFormat="0" applyBorder="0" applyAlignment="0" applyProtection="0"/>
    <xf numFmtId="0" fontId="131" fillId="0" borderId="0" applyNumberFormat="0" applyFill="0" applyProtection="0">
      <alignment horizontal="left"/>
    </xf>
    <xf numFmtId="0" fontId="32" fillId="0" borderId="0">
      <alignment horizontal="left"/>
    </xf>
    <xf numFmtId="0" fontId="30" fillId="0" borderId="0" applyFont="0">
      <alignment horizontal="centerContinuous"/>
    </xf>
    <xf numFmtId="39" fontId="44" fillId="0" borderId="0"/>
    <xf numFmtId="39" fontId="44" fillId="0" borderId="0"/>
    <xf numFmtId="0" fontId="132" fillId="0" borderId="56">
      <alignment horizontal="centerContinuous"/>
    </xf>
    <xf numFmtId="0" fontId="133" fillId="0" borderId="0">
      <alignment horizontal="centerContinuous"/>
    </xf>
    <xf numFmtId="288" fontId="30" fillId="45" borderId="1" applyNumberFormat="0" applyFont="0" applyAlignment="0"/>
    <xf numFmtId="289" fontId="107" fillId="0" borderId="0" applyFont="0" applyFill="0" applyBorder="0" applyAlignment="0" applyProtection="0">
      <alignment horizontal="right"/>
    </xf>
    <xf numFmtId="0" fontId="134" fillId="46" borderId="0" applyNumberFormat="0" applyBorder="0" applyAlignment="0"/>
    <xf numFmtId="0" fontId="135" fillId="0" borderId="0"/>
    <xf numFmtId="0" fontId="136" fillId="47" borderId="57"/>
    <xf numFmtId="0" fontId="136" fillId="0" borderId="0">
      <alignment horizontal="left"/>
    </xf>
    <xf numFmtId="0" fontId="137" fillId="0" borderId="58" applyNumberFormat="0" applyAlignment="0" applyProtection="0">
      <alignment horizontal="left" vertical="center"/>
    </xf>
    <xf numFmtId="0" fontId="137" fillId="0" borderId="21">
      <alignment horizontal="left" vertical="center"/>
    </xf>
    <xf numFmtId="0" fontId="138" fillId="0" borderId="0">
      <alignment horizontal="center"/>
    </xf>
    <xf numFmtId="0" fontId="138" fillId="0" borderId="0">
      <alignment horizontal="center"/>
    </xf>
    <xf numFmtId="0" fontId="118" fillId="0" borderId="21" applyNumberFormat="0">
      <alignment horizontal="right" wrapText="1"/>
    </xf>
    <xf numFmtId="0" fontId="139" fillId="0" borderId="59" applyNumberFormat="0" applyFill="0" applyBorder="0" applyAlignment="0" applyProtection="0">
      <alignment horizontal="left"/>
    </xf>
    <xf numFmtId="0" fontId="134" fillId="0" borderId="0"/>
    <xf numFmtId="1" fontId="140" fillId="0" borderId="0"/>
    <xf numFmtId="0" fontId="141" fillId="0" borderId="0"/>
    <xf numFmtId="0" fontId="142" fillId="0" borderId="40">
      <alignment horizontal="centerContinuous"/>
    </xf>
    <xf numFmtId="199" fontId="44" fillId="0" borderId="0"/>
    <xf numFmtId="39" fontId="143" fillId="0" borderId="0" applyFill="0" applyBorder="0" applyProtection="0"/>
    <xf numFmtId="0" fontId="73" fillId="0" borderId="0" applyFont="0" applyAlignment="0">
      <alignment horizontal="centerContinuous"/>
    </xf>
    <xf numFmtId="0" fontId="73" fillId="0" borderId="0">
      <alignment horizontal="center"/>
    </xf>
    <xf numFmtId="0" fontId="76" fillId="0" borderId="1">
      <alignment horizontal="centerContinuous"/>
    </xf>
    <xf numFmtId="49" fontId="144" fillId="0" borderId="60"/>
    <xf numFmtId="49" fontId="145" fillId="0" borderId="0"/>
    <xf numFmtId="49" fontId="146" fillId="0" borderId="0"/>
    <xf numFmtId="0" fontId="47" fillId="0" borderId="0"/>
    <xf numFmtId="0" fontId="62" fillId="0" borderId="0"/>
    <xf numFmtId="0" fontId="62" fillId="0" borderId="0"/>
    <xf numFmtId="235" fontId="30" fillId="48" borderId="1"/>
    <xf numFmtId="10" fontId="67" fillId="45" borderId="1" applyNumberFormat="0" applyBorder="0" applyAlignment="0" applyProtection="0"/>
    <xf numFmtId="283" fontId="30" fillId="49" borderId="0"/>
    <xf numFmtId="235" fontId="30" fillId="48" borderId="1"/>
    <xf numFmtId="0" fontId="30" fillId="50" borderId="0"/>
    <xf numFmtId="290" fontId="30" fillId="45" borderId="0" applyNumberFormat="0" applyFont="0" applyBorder="0" applyAlignment="0" applyProtection="0">
      <alignment horizontal="center"/>
      <protection locked="0"/>
    </xf>
    <xf numFmtId="235" fontId="67" fillId="45" borderId="47" applyNumberFormat="0" applyFont="0" applyAlignment="0" applyProtection="0">
      <alignment horizontal="center"/>
      <protection locked="0"/>
    </xf>
    <xf numFmtId="0" fontId="76" fillId="0" borderId="0" applyNumberFormat="0" applyFill="0" applyBorder="0" applyAlignment="0">
      <protection locked="0"/>
    </xf>
    <xf numFmtId="0" fontId="147" fillId="0" borderId="0" applyNumberFormat="0" applyFill="0" applyBorder="0" applyAlignment="0"/>
    <xf numFmtId="0" fontId="30" fillId="0" borderId="0"/>
    <xf numFmtId="0" fontId="93" fillId="0" borderId="0"/>
    <xf numFmtId="291" fontId="148" fillId="0" borderId="8" applyFill="0" applyBorder="0" applyProtection="0"/>
    <xf numFmtId="0" fontId="149" fillId="0" borderId="0"/>
    <xf numFmtId="292" fontId="30" fillId="0" borderId="0" applyFill="0" applyBorder="0">
      <alignment horizontal="right"/>
      <protection locked="0"/>
    </xf>
    <xf numFmtId="0" fontId="67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194" fontId="67" fillId="0" borderId="0" applyNumberFormat="0" applyFill="0" applyBorder="0" applyAlignment="0" applyProtection="0"/>
    <xf numFmtId="0" fontId="43" fillId="51" borderId="61">
      <alignment horizontal="left" vertical="center" wrapText="1"/>
    </xf>
    <xf numFmtId="0" fontId="137" fillId="0" borderId="0" applyNumberFormat="0"/>
    <xf numFmtId="203" fontId="30" fillId="0" borderId="0" applyFont="0" applyFill="0" applyBorder="0" applyAlignment="0" applyProtection="0"/>
    <xf numFmtId="293" fontId="64" fillId="0" borderId="0" applyFont="0" applyFill="0" applyBorder="0" applyAlignment="0" applyProtection="0"/>
    <xf numFmtId="294" fontId="64" fillId="0" borderId="0" applyFont="0" applyFill="0" applyBorder="0" applyAlignment="0" applyProtection="0"/>
    <xf numFmtId="1" fontId="150" fillId="1" borderId="42">
      <protection locked="0"/>
    </xf>
    <xf numFmtId="38" fontId="151" fillId="0" borderId="0"/>
    <xf numFmtId="38" fontId="152" fillId="0" borderId="0"/>
    <xf numFmtId="38" fontId="153" fillId="0" borderId="0"/>
    <xf numFmtId="38" fontId="154" fillId="0" borderId="0"/>
    <xf numFmtId="0" fontId="155" fillId="0" borderId="0"/>
    <xf numFmtId="0" fontId="155" fillId="0" borderId="0"/>
    <xf numFmtId="295" fontId="51" fillId="0" borderId="0">
      <alignment horizontal="left"/>
    </xf>
    <xf numFmtId="0" fontId="156" fillId="0" borderId="0">
      <alignment horizontal="left"/>
    </xf>
    <xf numFmtId="0" fontId="157" fillId="0" borderId="0">
      <alignment horizontal="left"/>
    </xf>
    <xf numFmtId="0" fontId="131" fillId="0" borderId="0">
      <alignment horizontal="left"/>
    </xf>
    <xf numFmtId="0" fontId="131" fillId="0" borderId="0">
      <alignment horizontal="left"/>
    </xf>
    <xf numFmtId="0" fontId="158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95" fillId="0" borderId="0"/>
    <xf numFmtId="296" fontId="51" fillId="0" borderId="0" applyFont="0" applyFill="0" applyBorder="0" applyAlignment="0" applyProtection="0"/>
    <xf numFmtId="0" fontId="101" fillId="38" borderId="0">
      <alignment horizontal="left"/>
    </xf>
    <xf numFmtId="0" fontId="160" fillId="39" borderId="0">
      <alignment horizontal="left"/>
    </xf>
    <xf numFmtId="249" fontId="30" fillId="0" borderId="0" applyFill="0" applyBorder="0" applyAlignment="0"/>
    <xf numFmtId="249" fontId="30" fillId="0" borderId="0" applyFill="0" applyBorder="0" applyAlignment="0"/>
    <xf numFmtId="249" fontId="30" fillId="0" borderId="0" applyFill="0" applyBorder="0" applyAlignment="0"/>
    <xf numFmtId="249" fontId="30" fillId="0" borderId="0" applyFill="0" applyBorder="0" applyAlignment="0"/>
    <xf numFmtId="249" fontId="30" fillId="0" borderId="0" applyFill="0" applyBorder="0" applyAlignment="0"/>
    <xf numFmtId="37" fontId="161" fillId="0" borderId="0" applyNumberFormat="0" applyFill="0" applyBorder="0" applyAlignment="0" applyProtection="0">
      <alignment horizontal="right"/>
    </xf>
    <xf numFmtId="0" fontId="30" fillId="0" borderId="40">
      <alignment horizontal="left"/>
    </xf>
    <xf numFmtId="0" fontId="30" fillId="0" borderId="0">
      <alignment horizontal="left"/>
    </xf>
    <xf numFmtId="0" fontId="263" fillId="35" borderId="0">
      <alignment horizontal="right" vertical="center"/>
      <protection locked="0"/>
    </xf>
    <xf numFmtId="216" fontId="45" fillId="0" borderId="0">
      <alignment horizontal="right"/>
    </xf>
    <xf numFmtId="218" fontId="45" fillId="0" borderId="0">
      <alignment horizontal="right"/>
    </xf>
    <xf numFmtId="0" fontId="145" fillId="0" borderId="0" applyNumberFormat="0" applyFill="0" applyBorder="0" applyProtection="0">
      <alignment horizontal="left" vertical="center"/>
    </xf>
    <xf numFmtId="41" fontId="30" fillId="0" borderId="0" applyFont="0" applyFill="0" applyBorder="0" applyAlignment="0" applyProtection="0"/>
    <xf numFmtId="191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297" fontId="67" fillId="0" borderId="0"/>
    <xf numFmtId="2" fontId="117" fillId="0" borderId="41" applyFont="0" applyFill="0" applyBorder="0" applyAlignment="0"/>
    <xf numFmtId="37" fontId="162" fillId="0" borderId="0" applyFont="0" applyFill="0" applyBorder="0" applyAlignment="0" applyProtection="0"/>
    <xf numFmtId="0" fontId="163" fillId="0" borderId="0" applyNumberFormat="0" applyFill="0" applyBorder="0" applyAlignment="0"/>
    <xf numFmtId="0" fontId="137" fillId="0" borderId="0" applyFill="0" applyBorder="0">
      <alignment horizontal="left" vertical="center"/>
    </xf>
    <xf numFmtId="38" fontId="163" fillId="0" borderId="0" applyBorder="0"/>
    <xf numFmtId="298" fontId="51" fillId="0" borderId="0" applyFont="0" applyFill="0" applyBorder="0" applyAlignment="0" applyProtection="0"/>
    <xf numFmtId="299" fontId="5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300" fontId="30" fillId="0" borderId="0" applyFont="0" applyFill="0" applyBorder="0" applyAlignment="0" applyProtection="0"/>
    <xf numFmtId="301" fontId="30" fillId="0" borderId="0" applyFont="0" applyFill="0" applyBorder="0" applyAlignment="0" applyProtection="0"/>
    <xf numFmtId="242" fontId="44" fillId="0" borderId="0"/>
    <xf numFmtId="302" fontId="164" fillId="0" borderId="0" applyFont="0" applyFill="0" applyBorder="0" applyProtection="0">
      <alignment horizontal="right"/>
    </xf>
    <xf numFmtId="234" fontId="165" fillId="0" borderId="0" applyFont="0" applyFill="0" applyBorder="0" applyAlignment="0" applyProtection="0"/>
    <xf numFmtId="49" fontId="265" fillId="41" borderId="0">
      <alignment horizontal="centerContinuous" vertical="center"/>
      <protection locked="0"/>
    </xf>
    <xf numFmtId="216" fontId="47" fillId="0" borderId="0" applyFont="0" applyFill="0" applyBorder="0" applyAlignment="0" applyProtection="0"/>
    <xf numFmtId="303" fontId="163" fillId="52" borderId="0" applyNumberFormat="0">
      <alignment horizontal="right"/>
    </xf>
    <xf numFmtId="304" fontId="47" fillId="0" borderId="0"/>
    <xf numFmtId="304" fontId="47" fillId="0" borderId="0"/>
    <xf numFmtId="305" fontId="30" fillId="0" borderId="0"/>
    <xf numFmtId="305" fontId="30" fillId="0" borderId="0"/>
    <xf numFmtId="241" fontId="47" fillId="0" borderId="0"/>
    <xf numFmtId="193" fontId="47" fillId="0" borderId="0"/>
    <xf numFmtId="43" fontId="47" fillId="0" borderId="0"/>
    <xf numFmtId="38" fontId="43" fillId="0" borderId="0"/>
    <xf numFmtId="0" fontId="166" fillId="42" borderId="0" applyFont="0" applyAlignment="0">
      <alignment horizontal="left"/>
      <protection locked="0"/>
    </xf>
    <xf numFmtId="0" fontId="45" fillId="0" borderId="0">
      <alignment horizontal="left"/>
    </xf>
    <xf numFmtId="37" fontId="167" fillId="0" borderId="0"/>
    <xf numFmtId="242" fontId="64" fillId="0" borderId="0"/>
    <xf numFmtId="306" fontId="41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267" fillId="0" borderId="0"/>
    <xf numFmtId="0" fontId="30" fillId="0" borderId="0"/>
    <xf numFmtId="0" fontId="108" fillId="0" borderId="0"/>
    <xf numFmtId="0" fontId="266" fillId="0" borderId="0">
      <alignment vertical="center"/>
    </xf>
    <xf numFmtId="0" fontId="266" fillId="0" borderId="0">
      <alignment vertical="center"/>
    </xf>
    <xf numFmtId="0" fontId="41" fillId="0" borderId="0"/>
    <xf numFmtId="0" fontId="41" fillId="0" borderId="0">
      <alignment vertical="center"/>
    </xf>
    <xf numFmtId="0" fontId="43" fillId="0" borderId="0"/>
    <xf numFmtId="49" fontId="140" fillId="0" borderId="0">
      <alignment horizontal="left"/>
    </xf>
    <xf numFmtId="203" fontId="76" fillId="0" borderId="0">
      <alignment horizontal="left"/>
      <protection locked="0"/>
    </xf>
    <xf numFmtId="203" fontId="73" fillId="0" borderId="0">
      <alignment horizontal="left"/>
      <protection locked="0"/>
    </xf>
    <xf numFmtId="0" fontId="168" fillId="0" borderId="0" applyFill="0" applyBorder="0" applyAlignment="0" applyProtection="0"/>
    <xf numFmtId="37" fontId="169" fillId="0" borderId="0" applyNumberFormat="0" applyFont="0" applyFill="0" applyBorder="0" applyAlignment="0" applyProtection="0"/>
    <xf numFmtId="0" fontId="170" fillId="0" borderId="3"/>
    <xf numFmtId="203" fontId="67" fillId="0" borderId="0"/>
    <xf numFmtId="203" fontId="50" fillId="0" borderId="0">
      <protection locked="0"/>
    </xf>
    <xf numFmtId="295" fontId="51" fillId="0" borderId="0"/>
    <xf numFmtId="1" fontId="118" fillId="0" borderId="0" applyFont="0" applyFill="0" applyBorder="0" applyAlignment="0" applyProtection="0">
      <protection locked="0"/>
    </xf>
    <xf numFmtId="0" fontId="67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194" fontId="97" fillId="0" borderId="0" applyNumberFormat="0" applyFill="0" applyBorder="0" applyAlignment="0" applyProtection="0"/>
    <xf numFmtId="194" fontId="118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194" fontId="67" fillId="0" borderId="0" applyNumberFormat="0" applyFill="0" applyBorder="0" applyAlignment="0" applyProtection="0"/>
    <xf numFmtId="43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0" fontId="172" fillId="0" borderId="0">
      <alignment horizontal="left"/>
    </xf>
    <xf numFmtId="4" fontId="56" fillId="36" borderId="0">
      <alignment horizontal="right"/>
    </xf>
    <xf numFmtId="0" fontId="173" fillId="36" borderId="0">
      <alignment horizontal="center" vertical="center"/>
    </xf>
    <xf numFmtId="0" fontId="160" fillId="36" borderId="9"/>
    <xf numFmtId="0" fontId="173" fillId="36" borderId="0" applyBorder="0">
      <alignment horizontal="centerContinuous"/>
    </xf>
    <xf numFmtId="0" fontId="174" fillId="36" borderId="0" applyBorder="0">
      <alignment horizontal="centerContinuous"/>
    </xf>
    <xf numFmtId="10" fontId="47" fillId="0" borderId="9"/>
    <xf numFmtId="37" fontId="67" fillId="0" borderId="0" applyBorder="0">
      <protection locked="0"/>
    </xf>
    <xf numFmtId="235" fontId="175" fillId="0" borderId="0" applyProtection="0">
      <alignment horizontal="right"/>
    </xf>
    <xf numFmtId="235" fontId="45" fillId="0" borderId="0"/>
    <xf numFmtId="0" fontId="176" fillId="0" borderId="0" applyProtection="0">
      <alignment horizontal="left"/>
    </xf>
    <xf numFmtId="0" fontId="30" fillId="0" borderId="0" applyFill="0" applyBorder="0" applyProtection="0">
      <alignment horizontal="left"/>
    </xf>
    <xf numFmtId="0" fontId="30" fillId="0" borderId="0" applyFill="0" applyBorder="0" applyProtection="0">
      <alignment horizontal="left"/>
    </xf>
    <xf numFmtId="1" fontId="177" fillId="0" borderId="0" applyProtection="0">
      <alignment horizontal="right" vertical="center"/>
    </xf>
    <xf numFmtId="0" fontId="178" fillId="0" borderId="62" applyNumberFormat="0" applyAlignment="0" applyProtection="0"/>
    <xf numFmtId="0" fontId="44" fillId="53" borderId="0" applyNumberFormat="0" applyFont="0" applyBorder="0" applyAlignment="0" applyProtection="0"/>
    <xf numFmtId="0" fontId="67" fillId="54" borderId="3" applyNumberFormat="0" applyFont="0" applyBorder="0" applyAlignment="0" applyProtection="0">
      <alignment horizontal="center"/>
    </xf>
    <xf numFmtId="0" fontId="67" fillId="55" borderId="3" applyNumberFormat="0" applyFont="0" applyBorder="0" applyAlignment="0" applyProtection="0">
      <alignment horizontal="center"/>
    </xf>
    <xf numFmtId="0" fontId="44" fillId="0" borderId="63" applyNumberFormat="0" applyAlignment="0" applyProtection="0"/>
    <xf numFmtId="0" fontId="44" fillId="0" borderId="64" applyNumberFormat="0" applyAlignment="0" applyProtection="0"/>
    <xf numFmtId="0" fontId="178" fillId="0" borderId="65" applyNumberFormat="0" applyAlignment="0" applyProtection="0"/>
    <xf numFmtId="307" fontId="30" fillId="0" borderId="0" applyFont="0" applyFill="0" applyBorder="0" applyAlignment="0"/>
    <xf numFmtId="308" fontId="30" fillId="0" borderId="0" applyFill="0" applyBorder="0"/>
    <xf numFmtId="309" fontId="30" fillId="0" borderId="0" applyFont="0" applyFill="0" applyBorder="0" applyAlignment="0" applyProtection="0"/>
    <xf numFmtId="235" fontId="124" fillId="0" borderId="0">
      <alignment horizontal="right"/>
    </xf>
    <xf numFmtId="0" fontId="45" fillId="0" borderId="0"/>
    <xf numFmtId="0" fontId="179" fillId="0" borderId="0"/>
    <xf numFmtId="235" fontId="51" fillId="0" borderId="0"/>
    <xf numFmtId="9" fontId="44" fillId="0" borderId="0" applyFont="0" applyFill="0" applyBorder="0" applyAlignment="0" applyProtection="0"/>
    <xf numFmtId="10" fontId="44" fillId="0" borderId="0" applyFont="0" applyFill="0" applyBorder="0" applyAlignment="0" applyProtection="0"/>
    <xf numFmtId="249" fontId="30" fillId="0" borderId="0" applyFont="0" applyFill="0" applyBorder="0" applyAlignment="0" applyProtection="0"/>
    <xf numFmtId="8" fontId="163" fillId="0" borderId="0" applyFont="0" applyFill="0" applyBorder="0" applyAlignment="0" applyProtection="0"/>
    <xf numFmtId="0" fontId="180" fillId="0" borderId="0" applyFont="0" applyFill="0" applyBorder="0" applyAlignment="0" applyProtection="0"/>
    <xf numFmtId="10" fontId="30" fillId="0" borderId="0" applyFont="0" applyFill="0" applyBorder="0" applyAlignment="0" applyProtection="0"/>
    <xf numFmtId="9" fontId="106" fillId="0" borderId="0" applyFont="0" applyFill="0" applyBorder="0" applyAlignment="0" applyProtection="0"/>
    <xf numFmtId="235" fontId="106" fillId="0" borderId="0" applyFont="0" applyFill="0" applyBorder="0" applyAlignment="0" applyProtection="0"/>
    <xf numFmtId="10" fontId="106" fillId="0" borderId="0" applyFont="0" applyFill="0" applyBorder="0" applyAlignment="0" applyProtection="0"/>
    <xf numFmtId="9" fontId="23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266" fillId="0" borderId="0" applyFont="0" applyFill="0" applyBorder="0" applyAlignment="0" applyProtection="0"/>
    <xf numFmtId="9" fontId="266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248" fontId="164" fillId="0" borderId="0" applyFont="0" applyFill="0" applyBorder="0" applyProtection="0">
      <alignment horizontal="right"/>
    </xf>
    <xf numFmtId="9" fontId="109" fillId="0" borderId="0" applyFont="0" applyFill="0" applyBorder="0" applyAlignment="0" applyProtection="0"/>
    <xf numFmtId="10" fontId="109" fillId="0" borderId="0" applyFont="0" applyFill="0" applyBorder="0" applyAlignment="0" applyProtection="0"/>
    <xf numFmtId="235" fontId="51" fillId="0" borderId="0"/>
    <xf numFmtId="235" fontId="84" fillId="0" borderId="0"/>
    <xf numFmtId="10" fontId="51" fillId="0" borderId="0"/>
    <xf numFmtId="10" fontId="84" fillId="0" borderId="0">
      <protection locked="0"/>
    </xf>
    <xf numFmtId="0" fontId="71" fillId="0" borderId="0"/>
    <xf numFmtId="310" fontId="64" fillId="0" borderId="0" applyFill="0" applyBorder="0">
      <alignment horizontal="right"/>
      <protection locked="0"/>
    </xf>
    <xf numFmtId="311" fontId="117" fillId="0" borderId="0" applyFill="0" applyBorder="0" applyProtection="0"/>
    <xf numFmtId="235" fontId="175" fillId="0" borderId="0">
      <alignment horizontal="right"/>
    </xf>
    <xf numFmtId="0" fontId="181" fillId="0" borderId="0" applyFont="0" applyFill="0" applyBorder="0" applyAlignment="0" applyProtection="0">
      <alignment horizontal="center"/>
    </xf>
    <xf numFmtId="0" fontId="181" fillId="0" borderId="0" applyFont="0" applyFill="0" applyBorder="0" applyAlignment="0" applyProtection="0">
      <alignment horizontal="center"/>
    </xf>
    <xf numFmtId="0" fontId="181" fillId="0" borderId="0" applyFont="0" applyFill="0" applyBorder="0" applyAlignment="0" applyProtection="0">
      <alignment horizontal="center"/>
    </xf>
    <xf numFmtId="10" fontId="76" fillId="0" borderId="0"/>
    <xf numFmtId="9" fontId="76" fillId="0" borderId="0"/>
    <xf numFmtId="249" fontId="30" fillId="0" borderId="0" applyFill="0" applyBorder="0" applyAlignment="0"/>
    <xf numFmtId="249" fontId="30" fillId="0" borderId="0" applyFill="0" applyBorder="0" applyAlignment="0"/>
    <xf numFmtId="249" fontId="30" fillId="0" borderId="0" applyFill="0" applyBorder="0" applyAlignment="0"/>
    <xf numFmtId="249" fontId="30" fillId="0" borderId="0" applyFill="0" applyBorder="0" applyAlignment="0"/>
    <xf numFmtId="249" fontId="30" fillId="0" borderId="0" applyFill="0" applyBorder="0" applyAlignment="0"/>
    <xf numFmtId="0" fontId="118" fillId="44" borderId="1" applyNumberFormat="0" applyFont="0" applyAlignment="0" applyProtection="0"/>
    <xf numFmtId="290" fontId="30" fillId="44" borderId="0" applyNumberFormat="0" applyFont="0" applyBorder="0" applyAlignment="0" applyProtection="0">
      <alignment horizontal="center"/>
      <protection locked="0"/>
    </xf>
    <xf numFmtId="9" fontId="64" fillId="0" borderId="0" applyFont="0" applyFill="0" applyBorder="0" applyAlignment="0" applyProtection="0"/>
    <xf numFmtId="0" fontId="64" fillId="0" borderId="0" applyNumberFormat="0" applyFont="0" applyFill="0" applyBorder="0" applyAlignment="0" applyProtection="0">
      <alignment horizontal="left"/>
    </xf>
    <xf numFmtId="15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0" fontId="182" fillId="0" borderId="47"/>
    <xf numFmtId="312" fontId="183" fillId="0" borderId="0">
      <alignment horizontal="right"/>
    </xf>
    <xf numFmtId="1" fontId="30" fillId="0" borderId="3" applyNumberFormat="0" applyFill="0" applyAlignment="0" applyProtection="0">
      <alignment horizontal="center" vertical="center"/>
    </xf>
    <xf numFmtId="193" fontId="184" fillId="0" borderId="0">
      <alignment horizontal="right"/>
    </xf>
    <xf numFmtId="0" fontId="44" fillId="0" borderId="0">
      <alignment vertical="top"/>
    </xf>
    <xf numFmtId="0" fontId="44" fillId="0" borderId="0">
      <alignment vertical="top"/>
    </xf>
    <xf numFmtId="241" fontId="30" fillId="0" borderId="0"/>
    <xf numFmtId="10" fontId="45" fillId="0" borderId="1"/>
    <xf numFmtId="10" fontId="30" fillId="0" borderId="0"/>
    <xf numFmtId="2" fontId="47" fillId="0" borderId="0">
      <alignment horizontal="right"/>
    </xf>
    <xf numFmtId="313" fontId="30" fillId="0" borderId="0">
      <alignment horizontal="right"/>
      <protection locked="0"/>
    </xf>
    <xf numFmtId="314" fontId="51" fillId="0" borderId="0" applyFill="0" applyBorder="0" applyProtection="0">
      <alignment horizontal="right"/>
    </xf>
    <xf numFmtId="0" fontId="160" fillId="20" borderId="0">
      <alignment horizontal="center"/>
    </xf>
    <xf numFmtId="49" fontId="166" fillId="39" borderId="0">
      <alignment horizontal="center"/>
    </xf>
    <xf numFmtId="14" fontId="117" fillId="0" borderId="0" applyNumberFormat="0" applyFill="0" applyBorder="0" applyAlignment="0" applyProtection="0">
      <alignment horizontal="left"/>
    </xf>
    <xf numFmtId="0" fontId="47" fillId="0" borderId="0">
      <alignment horizontal="right"/>
    </xf>
    <xf numFmtId="0" fontId="118" fillId="0" borderId="0" applyNumberFormat="0" applyFill="0" applyBorder="0"/>
    <xf numFmtId="1" fontId="164" fillId="39" borderId="0" applyNumberFormat="0" applyFont="0" applyFill="0" applyBorder="0" applyAlignment="0" applyProtection="0"/>
    <xf numFmtId="1" fontId="164" fillId="39" borderId="0" applyNumberFormat="0" applyFont="0" applyFill="0" applyBorder="0" applyAlignment="0" applyProtection="0"/>
    <xf numFmtId="1" fontId="164" fillId="39" borderId="0" applyNumberFormat="0" applyFont="0" applyFill="0" applyBorder="0" applyAlignment="0" applyProtection="0"/>
    <xf numFmtId="1" fontId="164" fillId="39" borderId="0" applyNumberFormat="0" applyFont="0" applyFill="0" applyBorder="0" applyAlignment="0" applyProtection="0"/>
    <xf numFmtId="0" fontId="102" fillId="38" borderId="0">
      <alignment horizontal="center"/>
    </xf>
    <xf numFmtId="0" fontId="102" fillId="38" borderId="0">
      <alignment horizontal="centerContinuous"/>
    </xf>
    <xf numFmtId="0" fontId="80" fillId="39" borderId="0">
      <alignment horizontal="left"/>
    </xf>
    <xf numFmtId="49" fontId="80" fillId="39" borderId="0">
      <alignment horizontal="center"/>
    </xf>
    <xf numFmtId="0" fontId="101" fillId="38" borderId="0">
      <alignment horizontal="left"/>
    </xf>
    <xf numFmtId="49" fontId="80" fillId="39" borderId="0">
      <alignment horizontal="left"/>
    </xf>
    <xf numFmtId="0" fontId="101" fillId="38" borderId="0">
      <alignment horizontal="centerContinuous"/>
    </xf>
    <xf numFmtId="0" fontId="101" fillId="38" borderId="0">
      <alignment horizontal="right"/>
    </xf>
    <xf numFmtId="49" fontId="160" fillId="39" borderId="0">
      <alignment horizontal="left"/>
    </xf>
    <xf numFmtId="0" fontId="102" fillId="38" borderId="0">
      <alignment horizontal="right"/>
    </xf>
    <xf numFmtId="0" fontId="185" fillId="0" borderId="45">
      <protection locked="0"/>
    </xf>
    <xf numFmtId="0" fontId="30" fillId="0" borderId="0"/>
    <xf numFmtId="0" fontId="185" fillId="0" borderId="45">
      <alignment horizontal="centerContinuous"/>
    </xf>
    <xf numFmtId="0" fontId="185" fillId="0" borderId="45">
      <alignment horizontal="centerContinuous"/>
    </xf>
    <xf numFmtId="0" fontId="185" fillId="0" borderId="45">
      <protection locked="0"/>
    </xf>
    <xf numFmtId="203" fontId="185" fillId="0" borderId="0"/>
    <xf numFmtId="0" fontId="185" fillId="0" borderId="45">
      <alignment horizontal="centerContinuous"/>
    </xf>
    <xf numFmtId="203" fontId="185" fillId="0" borderId="0"/>
    <xf numFmtId="0" fontId="185" fillId="0" borderId="45">
      <alignment horizontal="centerContinuous"/>
    </xf>
    <xf numFmtId="203" fontId="185" fillId="0" borderId="0"/>
    <xf numFmtId="0" fontId="185" fillId="0" borderId="45">
      <alignment horizontal="centerContinuous"/>
    </xf>
    <xf numFmtId="0" fontId="185" fillId="0" borderId="45">
      <alignment horizontal="centerContinuous"/>
    </xf>
    <xf numFmtId="0" fontId="185" fillId="0" borderId="45">
      <alignment horizontal="centerContinuous"/>
    </xf>
    <xf numFmtId="0" fontId="185" fillId="0" borderId="45">
      <protection locked="0"/>
    </xf>
    <xf numFmtId="0" fontId="185" fillId="0" borderId="45">
      <alignment horizontal="centerContinuous"/>
    </xf>
    <xf numFmtId="203" fontId="185" fillId="0" borderId="0"/>
    <xf numFmtId="0" fontId="185" fillId="0" borderId="45">
      <protection locked="0"/>
    </xf>
    <xf numFmtId="0" fontId="185" fillId="0" borderId="45">
      <alignment horizontal="centerContinuous"/>
    </xf>
    <xf numFmtId="0" fontId="185" fillId="0" borderId="45">
      <protection locked="0"/>
    </xf>
    <xf numFmtId="0" fontId="185" fillId="0" borderId="45">
      <alignment horizontal="centerContinuous"/>
    </xf>
    <xf numFmtId="0" fontId="185" fillId="0" borderId="45">
      <alignment horizontal="centerContinuous"/>
    </xf>
    <xf numFmtId="0" fontId="185" fillId="0" borderId="0"/>
    <xf numFmtId="0" fontId="185" fillId="0" borderId="45">
      <protection locked="0"/>
    </xf>
    <xf numFmtId="0" fontId="185" fillId="0" borderId="45">
      <alignment horizontal="centerContinuous"/>
    </xf>
    <xf numFmtId="0" fontId="185" fillId="0" borderId="45">
      <alignment horizontal="centerContinuous"/>
    </xf>
    <xf numFmtId="0" fontId="185" fillId="0" borderId="45">
      <alignment horizontal="centerContinuous"/>
    </xf>
    <xf numFmtId="0" fontId="44" fillId="0" borderId="0">
      <alignment horizontal="center"/>
    </xf>
    <xf numFmtId="203" fontId="185" fillId="0" borderId="0"/>
    <xf numFmtId="0" fontId="185" fillId="0" borderId="45">
      <alignment horizontal="centerContinuous"/>
    </xf>
    <xf numFmtId="0" fontId="185" fillId="0" borderId="45">
      <protection locked="0"/>
    </xf>
    <xf numFmtId="203" fontId="185" fillId="0" borderId="0"/>
    <xf numFmtId="0" fontId="185" fillId="0" borderId="45">
      <protection locked="0"/>
    </xf>
    <xf numFmtId="0" fontId="185" fillId="0" borderId="45">
      <alignment horizontal="centerContinuous"/>
    </xf>
    <xf numFmtId="203" fontId="185" fillId="0" borderId="0"/>
    <xf numFmtId="0" fontId="185" fillId="0" borderId="45">
      <alignment horizontal="centerContinuous"/>
    </xf>
    <xf numFmtId="0" fontId="185" fillId="0" borderId="45">
      <alignment horizontal="centerContinuous"/>
    </xf>
    <xf numFmtId="0" fontId="185" fillId="0" borderId="45">
      <alignment horizontal="centerContinuous"/>
    </xf>
    <xf numFmtId="0" fontId="44" fillId="0" borderId="0">
      <alignment horizontal="center"/>
    </xf>
    <xf numFmtId="0" fontId="185" fillId="0" borderId="45">
      <alignment horizontal="centerContinuous"/>
    </xf>
    <xf numFmtId="203" fontId="185" fillId="0" borderId="0"/>
    <xf numFmtId="0" fontId="185" fillId="0" borderId="45">
      <protection locked="0"/>
    </xf>
    <xf numFmtId="203" fontId="185" fillId="0" borderId="0"/>
    <xf numFmtId="0" fontId="185" fillId="0" borderId="45">
      <alignment horizontal="centerContinuous"/>
    </xf>
    <xf numFmtId="0" fontId="185" fillId="0" borderId="45">
      <alignment horizontal="centerContinuous"/>
    </xf>
    <xf numFmtId="0" fontId="185" fillId="0" borderId="45">
      <protection locked="0"/>
    </xf>
    <xf numFmtId="203" fontId="185" fillId="0" borderId="0"/>
    <xf numFmtId="0" fontId="185" fillId="0" borderId="45">
      <alignment horizontal="centerContinuous"/>
    </xf>
    <xf numFmtId="0" fontId="185" fillId="0" borderId="45">
      <alignment horizontal="centerContinuous"/>
    </xf>
    <xf numFmtId="0" fontId="185" fillId="0" borderId="45">
      <alignment horizontal="centerContinuous"/>
    </xf>
    <xf numFmtId="0" fontId="185" fillId="0" borderId="45">
      <alignment horizontal="centerContinuous"/>
    </xf>
    <xf numFmtId="0" fontId="185" fillId="0" borderId="45">
      <alignment horizontal="centerContinuous"/>
    </xf>
    <xf numFmtId="0" fontId="185" fillId="0" borderId="45">
      <protection locked="0"/>
    </xf>
    <xf numFmtId="0" fontId="185" fillId="0" borderId="45">
      <alignment horizontal="centerContinuous"/>
    </xf>
    <xf numFmtId="203" fontId="185" fillId="0" borderId="0"/>
    <xf numFmtId="0" fontId="185" fillId="0" borderId="45">
      <alignment horizontal="centerContinuous"/>
    </xf>
    <xf numFmtId="0" fontId="185" fillId="0" borderId="45">
      <protection locked="0"/>
    </xf>
    <xf numFmtId="0" fontId="185" fillId="0" borderId="45">
      <alignment horizontal="centerContinuous"/>
    </xf>
    <xf numFmtId="0" fontId="185" fillId="0" borderId="45">
      <alignment horizontal="centerContinuous"/>
    </xf>
    <xf numFmtId="193" fontId="45" fillId="0" borderId="39">
      <alignment horizontal="right"/>
    </xf>
    <xf numFmtId="0" fontId="80" fillId="56" borderId="0">
      <alignment horizontal="center"/>
    </xf>
    <xf numFmtId="0" fontId="50" fillId="56" borderId="0">
      <alignment horizontal="center"/>
    </xf>
    <xf numFmtId="4" fontId="160" fillId="20" borderId="66" applyNumberFormat="0" applyProtection="0">
      <alignment vertical="center"/>
    </xf>
    <xf numFmtId="4" fontId="186" fillId="48" borderId="66" applyNumberFormat="0" applyProtection="0">
      <alignment vertical="center"/>
    </xf>
    <xf numFmtId="4" fontId="160" fillId="48" borderId="66" applyNumberFormat="0" applyProtection="0">
      <alignment horizontal="left" vertical="center" indent="1"/>
    </xf>
    <xf numFmtId="0" fontId="160" fillId="48" borderId="66" applyNumberFormat="0" applyProtection="0">
      <alignment horizontal="left" vertical="top" indent="1"/>
    </xf>
    <xf numFmtId="4" fontId="160" fillId="43" borderId="0" applyNumberFormat="0" applyProtection="0">
      <alignment horizontal="left" vertical="center" indent="1"/>
    </xf>
    <xf numFmtId="4" fontId="56" fillId="23" borderId="66" applyNumberFormat="0" applyProtection="0">
      <alignment horizontal="right" vertical="center"/>
    </xf>
    <xf numFmtId="4" fontId="56" fillId="29" borderId="66" applyNumberFormat="0" applyProtection="0">
      <alignment horizontal="right" vertical="center"/>
    </xf>
    <xf numFmtId="4" fontId="56" fillId="57" borderId="66" applyNumberFormat="0" applyProtection="0">
      <alignment horizontal="right" vertical="center"/>
    </xf>
    <xf numFmtId="4" fontId="56" fillId="31" borderId="66" applyNumberFormat="0" applyProtection="0">
      <alignment horizontal="right" vertical="center"/>
    </xf>
    <xf numFmtId="4" fontId="56" fillId="21" borderId="66" applyNumberFormat="0" applyProtection="0">
      <alignment horizontal="right" vertical="center"/>
    </xf>
    <xf numFmtId="4" fontId="56" fillId="58" borderId="66" applyNumberFormat="0" applyProtection="0">
      <alignment horizontal="right" vertical="center"/>
    </xf>
    <xf numFmtId="4" fontId="56" fillId="59" borderId="66" applyNumberFormat="0" applyProtection="0">
      <alignment horizontal="right" vertical="center"/>
    </xf>
    <xf numFmtId="4" fontId="56" fillId="60" borderId="66" applyNumberFormat="0" applyProtection="0">
      <alignment horizontal="right" vertical="center"/>
    </xf>
    <xf numFmtId="4" fontId="56" fillId="30" borderId="66" applyNumberFormat="0" applyProtection="0">
      <alignment horizontal="right" vertical="center"/>
    </xf>
    <xf numFmtId="4" fontId="160" fillId="61" borderId="67" applyNumberFormat="0" applyProtection="0">
      <alignment horizontal="left" vertical="center" indent="1"/>
    </xf>
    <xf numFmtId="4" fontId="56" fillId="62" borderId="0" applyNumberFormat="0" applyProtection="0">
      <alignment horizontal="left" vertical="center" indent="1"/>
    </xf>
    <xf numFmtId="4" fontId="166" fillId="63" borderId="0" applyNumberFormat="0" applyProtection="0">
      <alignment horizontal="left" vertical="center" indent="1"/>
    </xf>
    <xf numFmtId="4" fontId="56" fillId="64" borderId="66" applyNumberFormat="0" applyProtection="0">
      <alignment horizontal="right" vertical="center"/>
    </xf>
    <xf numFmtId="4" fontId="56" fillId="62" borderId="0" applyNumberFormat="0" applyProtection="0">
      <alignment horizontal="left" vertical="center" indent="1"/>
    </xf>
    <xf numFmtId="4" fontId="56" fillId="43" borderId="0" applyNumberFormat="0" applyProtection="0">
      <alignment horizontal="left" vertical="center" indent="1"/>
    </xf>
    <xf numFmtId="0" fontId="187" fillId="28" borderId="66" applyNumberFormat="0" applyProtection="0">
      <alignment horizontal="left" vertical="center" indent="1"/>
    </xf>
    <xf numFmtId="0" fontId="30" fillId="63" borderId="66" applyNumberFormat="0" applyProtection="0">
      <alignment horizontal="left" vertical="top" indent="1"/>
    </xf>
    <xf numFmtId="0" fontId="188" fillId="27" borderId="66" applyNumberFormat="0" applyProtection="0">
      <alignment horizontal="left" vertical="center" indent="2"/>
    </xf>
    <xf numFmtId="0" fontId="30" fillId="43" borderId="66" applyNumberFormat="0" applyProtection="0">
      <alignment horizontal="left" vertical="top" indent="1"/>
    </xf>
    <xf numFmtId="0" fontId="30" fillId="55" borderId="66" applyNumberFormat="0" applyProtection="0">
      <alignment horizontal="left" vertical="center" indent="1"/>
    </xf>
    <xf numFmtId="0" fontId="30" fillId="55" borderId="66" applyNumberFormat="0" applyProtection="0">
      <alignment horizontal="left" vertical="top" indent="1"/>
    </xf>
    <xf numFmtId="0" fontId="30" fillId="54" borderId="66" applyNumberFormat="0" applyProtection="0">
      <alignment horizontal="left" vertical="center" indent="1"/>
    </xf>
    <xf numFmtId="0" fontId="30" fillId="54" borderId="66" applyNumberFormat="0" applyProtection="0">
      <alignment horizontal="left" vertical="top" indent="1"/>
    </xf>
    <xf numFmtId="4" fontId="56" fillId="45" borderId="66" applyNumberFormat="0" applyProtection="0">
      <alignment vertical="center"/>
    </xf>
    <xf numFmtId="4" fontId="189" fillId="45" borderId="66" applyNumberFormat="0" applyProtection="0">
      <alignment vertical="center"/>
    </xf>
    <xf numFmtId="4" fontId="56" fillId="45" borderId="66" applyNumberFormat="0" applyProtection="0">
      <alignment horizontal="left" vertical="center" indent="1"/>
    </xf>
    <xf numFmtId="0" fontId="56" fillId="45" borderId="66" applyNumberFormat="0" applyProtection="0">
      <alignment horizontal="left" vertical="top" indent="1"/>
    </xf>
    <xf numFmtId="4" fontId="56" fillId="62" borderId="66" applyNumberFormat="0" applyProtection="0">
      <alignment horizontal="right" vertical="center"/>
    </xf>
    <xf numFmtId="4" fontId="189" fillId="62" borderId="66" applyNumberFormat="0" applyProtection="0">
      <alignment horizontal="right" vertical="center"/>
    </xf>
    <xf numFmtId="4" fontId="56" fillId="64" borderId="66" applyNumberFormat="0" applyProtection="0">
      <alignment horizontal="left" vertical="center" indent="1"/>
    </xf>
    <xf numFmtId="0" fontId="56" fillId="43" borderId="66" applyNumberFormat="0" applyProtection="0">
      <alignment horizontal="left" vertical="top" indent="1"/>
    </xf>
    <xf numFmtId="4" fontId="190" fillId="65" borderId="0" applyNumberFormat="0" applyProtection="0">
      <alignment horizontal="left" vertical="center" indent="1"/>
    </xf>
    <xf numFmtId="4" fontId="191" fillId="62" borderId="66" applyNumberFormat="0" applyProtection="0">
      <alignment horizontal="right" vertical="center"/>
    </xf>
    <xf numFmtId="0" fontId="97" fillId="0" borderId="68"/>
    <xf numFmtId="0" fontId="106" fillId="0" borderId="69"/>
    <xf numFmtId="315" fontId="192" fillId="0" borderId="0" applyFill="0" applyBorder="0">
      <alignment horizontal="right"/>
      <protection hidden="1"/>
    </xf>
    <xf numFmtId="203" fontId="193" fillId="0" borderId="0">
      <protection locked="0"/>
    </xf>
    <xf numFmtId="0" fontId="194" fillId="66" borderId="0">
      <alignment vertical="center"/>
    </xf>
    <xf numFmtId="0" fontId="195" fillId="40" borderId="1">
      <alignment horizontal="center" vertical="center" wrapText="1"/>
      <protection hidden="1"/>
    </xf>
    <xf numFmtId="203" fontId="196" fillId="0" borderId="0"/>
    <xf numFmtId="37" fontId="196" fillId="0" borderId="0"/>
    <xf numFmtId="0" fontId="44" fillId="52" borderId="0" applyNumberFormat="0" applyFont="0" applyBorder="0" applyAlignment="0" applyProtection="0"/>
    <xf numFmtId="0" fontId="197" fillId="67" borderId="0" applyNumberFormat="0" applyFont="0" applyBorder="0" applyAlignment="0" applyProtection="0"/>
    <xf numFmtId="242" fontId="185" fillId="0" borderId="0" applyFont="0" applyFill="0" applyBorder="0" applyProtection="0">
      <alignment horizontal="right"/>
    </xf>
    <xf numFmtId="0" fontId="198" fillId="0" borderId="0" applyFill="0" applyBorder="0">
      <alignment horizontal="left" vertical="center"/>
    </xf>
    <xf numFmtId="316" fontId="123" fillId="0" borderId="0" applyFont="0" applyFill="0" applyBorder="0" applyAlignment="0" applyProtection="0"/>
    <xf numFmtId="1" fontId="88" fillId="0" borderId="0" applyFill="0" applyBorder="0" applyAlignment="0" applyProtection="0"/>
    <xf numFmtId="0" fontId="263" fillId="41" borderId="0">
      <alignment horizontal="right" vertical="center"/>
      <protection locked="0"/>
    </xf>
    <xf numFmtId="332" fontId="263" fillId="41" borderId="0">
      <alignment horizontal="right" vertical="center"/>
    </xf>
    <xf numFmtId="193" fontId="182" fillId="0" borderId="70">
      <alignment horizontal="right"/>
    </xf>
    <xf numFmtId="241" fontId="47" fillId="0" borderId="39"/>
    <xf numFmtId="193" fontId="47" fillId="0" borderId="39"/>
    <xf numFmtId="43" fontId="47" fillId="0" borderId="39"/>
    <xf numFmtId="0" fontId="199" fillId="0" borderId="45"/>
    <xf numFmtId="0" fontId="73" fillId="0" borderId="0">
      <alignment horizontal="centerContinuous"/>
    </xf>
    <xf numFmtId="0" fontId="64" fillId="0" borderId="0"/>
    <xf numFmtId="0" fontId="30" fillId="0" borderId="0">
      <alignment vertical="center"/>
    </xf>
    <xf numFmtId="0" fontId="195" fillId="0" borderId="1">
      <alignment horizontal="center"/>
    </xf>
    <xf numFmtId="0" fontId="56" fillId="0" borderId="0">
      <alignment vertical="top"/>
    </xf>
    <xf numFmtId="317" fontId="30" fillId="36" borderId="71" applyFont="0" applyAlignment="0" applyProtection="0"/>
    <xf numFmtId="318" fontId="30" fillId="36" borderId="72" applyFont="0" applyAlignment="0" applyProtection="0"/>
    <xf numFmtId="0" fontId="195" fillId="0" borderId="0">
      <alignment horizontal="center" vertical="center"/>
    </xf>
    <xf numFmtId="0" fontId="200" fillId="68" borderId="0" applyNumberFormat="0" applyFill="0">
      <alignment horizontal="left" vertical="center"/>
    </xf>
    <xf numFmtId="0" fontId="201" fillId="0" borderId="0"/>
    <xf numFmtId="0" fontId="32" fillId="0" borderId="73"/>
    <xf numFmtId="0" fontId="145" fillId="0" borderId="0"/>
    <xf numFmtId="40" fontId="202" fillId="0" borderId="0" applyBorder="0">
      <alignment horizontal="right"/>
    </xf>
    <xf numFmtId="0" fontId="118" fillId="44" borderId="0" applyNumberFormat="0" applyFont="0" applyBorder="0" applyAlignment="0" applyProtection="0"/>
    <xf numFmtId="0" fontId="73" fillId="0" borderId="47">
      <alignment horizontal="center"/>
    </xf>
    <xf numFmtId="0" fontId="45" fillId="0" borderId="0"/>
    <xf numFmtId="0" fontId="73" fillId="0" borderId="47">
      <alignment horizontal="centerContinuous"/>
    </xf>
    <xf numFmtId="0" fontId="73" fillId="0" borderId="47">
      <alignment horizontal="centerContinuous"/>
    </xf>
    <xf numFmtId="0" fontId="73" fillId="0" borderId="47">
      <alignment horizontal="center"/>
    </xf>
    <xf numFmtId="0" fontId="73" fillId="0" borderId="45">
      <alignment horizontal="centerContinuous"/>
    </xf>
    <xf numFmtId="0" fontId="73" fillId="0" borderId="47">
      <alignment horizontal="center"/>
    </xf>
    <xf numFmtId="0" fontId="73" fillId="0" borderId="47">
      <alignment horizontal="centerContinuous"/>
    </xf>
    <xf numFmtId="0" fontId="73" fillId="0" borderId="47">
      <alignment horizontal="centerContinuous"/>
    </xf>
    <xf numFmtId="0" fontId="73" fillId="0" borderId="47">
      <alignment horizontal="centerContinuous"/>
    </xf>
    <xf numFmtId="0" fontId="73" fillId="0" borderId="47">
      <alignment horizontal="centerContinuous"/>
    </xf>
    <xf numFmtId="0" fontId="73" fillId="0" borderId="47">
      <alignment horizontal="centerContinuous"/>
    </xf>
    <xf numFmtId="0" fontId="73" fillId="0" borderId="47">
      <alignment horizontal="centerContinuous"/>
    </xf>
    <xf numFmtId="0" fontId="30" fillId="0" borderId="47">
      <alignment horizontal="centerContinuous"/>
    </xf>
    <xf numFmtId="0" fontId="73" fillId="0" borderId="47">
      <alignment horizontal="centerContinuous"/>
    </xf>
    <xf numFmtId="0" fontId="73" fillId="0" borderId="47">
      <alignment horizontal="center"/>
    </xf>
    <xf numFmtId="0" fontId="73" fillId="0" borderId="47">
      <alignment horizontal="center"/>
    </xf>
    <xf numFmtId="0" fontId="73" fillId="0" borderId="45">
      <alignment horizontal="centerContinuous"/>
    </xf>
    <xf numFmtId="0" fontId="73" fillId="0" borderId="47">
      <alignment horizontal="center"/>
    </xf>
    <xf numFmtId="0" fontId="73" fillId="0" borderId="47">
      <alignment horizontal="center"/>
    </xf>
    <xf numFmtId="0" fontId="73" fillId="0" borderId="45">
      <alignment horizontal="centerContinuous"/>
    </xf>
    <xf numFmtId="9" fontId="73" fillId="0" borderId="0">
      <alignment horizontal="centerContinuous"/>
    </xf>
    <xf numFmtId="242" fontId="44" fillId="0" borderId="0"/>
    <xf numFmtId="0" fontId="32" fillId="0" borderId="0" applyFill="0" applyBorder="0" applyProtection="0">
      <alignment horizontal="center" vertical="center"/>
    </xf>
    <xf numFmtId="0" fontId="203" fillId="0" borderId="0" applyBorder="0" applyProtection="0">
      <alignment vertical="center"/>
    </xf>
    <xf numFmtId="280" fontId="203" fillId="0" borderId="47" applyBorder="0" applyProtection="0">
      <alignment horizontal="right" vertical="center"/>
    </xf>
    <xf numFmtId="0" fontId="204" fillId="46" borderId="0" applyBorder="0" applyProtection="0">
      <alignment horizontal="centerContinuous" vertical="center"/>
    </xf>
    <xf numFmtId="0" fontId="204" fillId="35" borderId="47" applyBorder="0" applyProtection="0">
      <alignment horizontal="centerContinuous" vertical="center"/>
    </xf>
    <xf numFmtId="0" fontId="205" fillId="0" borderId="74"/>
    <xf numFmtId="0" fontId="32" fillId="0" borderId="0" applyFill="0" applyBorder="0" applyProtection="0"/>
    <xf numFmtId="0" fontId="206" fillId="0" borderId="0" applyNumberFormat="0">
      <alignment horizontal="left"/>
    </xf>
    <xf numFmtId="195" fontId="207" fillId="0" borderId="0" applyNumberFormat="0">
      <alignment horizontal="left"/>
    </xf>
    <xf numFmtId="195" fontId="208" fillId="0" borderId="0" applyNumberFormat="0">
      <alignment horizontal="left"/>
    </xf>
    <xf numFmtId="242" fontId="44" fillId="0" borderId="0"/>
    <xf numFmtId="0" fontId="80" fillId="36" borderId="39" applyNumberFormat="0" applyFont="0" applyFill="0" applyAlignment="0" applyProtection="0">
      <protection locked="0"/>
    </xf>
    <xf numFmtId="235" fontId="209" fillId="0" borderId="0" applyNumberFormat="0" applyFill="0" applyBorder="0">
      <alignment horizontal="left"/>
    </xf>
    <xf numFmtId="235" fontId="209" fillId="0" borderId="0" applyNumberFormat="0" applyFill="0" applyBorder="0">
      <alignment horizontal="right"/>
    </xf>
    <xf numFmtId="235" fontId="210" fillId="0" borderId="0" applyNumberFormat="0" applyFill="0" applyBorder="0">
      <alignment horizontal="right"/>
    </xf>
    <xf numFmtId="0" fontId="211" fillId="0" borderId="0" applyFill="0" applyBorder="0" applyProtection="0">
      <alignment horizontal="center" vertical="center"/>
    </xf>
    <xf numFmtId="0" fontId="80" fillId="36" borderId="75" applyNumberFormat="0" applyFont="0" applyFill="0" applyAlignment="0" applyProtection="0">
      <protection locked="0"/>
    </xf>
    <xf numFmtId="0" fontId="212" fillId="0" borderId="0" applyFill="0" applyBorder="0" applyProtection="0">
      <alignment vertical="top"/>
    </xf>
    <xf numFmtId="0" fontId="146" fillId="0" borderId="0" applyFill="0" applyBorder="0" applyProtection="0">
      <alignment vertical="center"/>
    </xf>
    <xf numFmtId="0" fontId="73" fillId="0" borderId="0" applyFill="0" applyBorder="0" applyProtection="0"/>
    <xf numFmtId="0" fontId="73" fillId="0" borderId="47">
      <alignment horizontal="center"/>
    </xf>
    <xf numFmtId="0" fontId="118" fillId="0" borderId="0" applyNumberFormat="0" applyFill="0" applyBorder="0" applyAlignment="0" applyProtection="0"/>
    <xf numFmtId="49" fontId="56" fillId="0" borderId="0" applyFill="0" applyBorder="0" applyAlignment="0"/>
    <xf numFmtId="249" fontId="30" fillId="0" borderId="0" applyFill="0" applyBorder="0" applyAlignment="0"/>
    <xf numFmtId="249" fontId="30" fillId="0" borderId="0" applyFill="0" applyBorder="0" applyAlignment="0"/>
    <xf numFmtId="0" fontId="118" fillId="42" borderId="0">
      <protection locked="0"/>
    </xf>
    <xf numFmtId="0" fontId="67" fillId="42" borderId="0">
      <alignment horizontal="left"/>
      <protection locked="0"/>
    </xf>
    <xf numFmtId="0" fontId="67" fillId="42" borderId="0">
      <alignment horizontal="left" indent="1"/>
      <protection locked="0"/>
    </xf>
    <xf numFmtId="0" fontId="67" fillId="42" borderId="0">
      <alignment horizontal="left" vertical="center" indent="2"/>
      <protection locked="0"/>
    </xf>
    <xf numFmtId="319" fontId="30" fillId="0" borderId="0" applyFont="0" applyFill="0" applyBorder="0" applyAlignment="0" applyProtection="0"/>
    <xf numFmtId="18" fontId="80" fillId="36" borderId="0" applyFont="0" applyFill="0" applyBorder="0" applyAlignment="0" applyProtection="0">
      <protection locked="0"/>
    </xf>
    <xf numFmtId="0" fontId="213" fillId="0" borderId="0" applyNumberFormat="0" applyFont="0" applyAlignment="0">
      <alignment horizontal="left"/>
    </xf>
    <xf numFmtId="0" fontId="4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214" fillId="0" borderId="0" applyNumberFormat="0" applyFill="0" applyBorder="0" applyAlignment="0" applyProtection="0"/>
    <xf numFmtId="320" fontId="215" fillId="0" borderId="0">
      <alignment horizontal="center"/>
    </xf>
    <xf numFmtId="295" fontId="178" fillId="0" borderId="0">
      <alignment horizontal="centerContinuous"/>
    </xf>
    <xf numFmtId="0" fontId="216" fillId="0" borderId="0">
      <alignment horizontal="center"/>
    </xf>
    <xf numFmtId="295" fontId="85" fillId="0" borderId="0">
      <alignment horizontal="centerContinuous"/>
      <protection locked="0"/>
    </xf>
    <xf numFmtId="295" fontId="85" fillId="0" borderId="0">
      <alignment horizontal="left"/>
    </xf>
    <xf numFmtId="0" fontId="30" fillId="0" borderId="0" applyBorder="0"/>
    <xf numFmtId="0" fontId="217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51" fillId="0" borderId="0" applyFont="0" applyBorder="0" applyAlignment="0"/>
    <xf numFmtId="0" fontId="218" fillId="0" borderId="0" applyFill="0" applyAlignment="0">
      <alignment horizontal="left"/>
      <protection locked="0"/>
    </xf>
    <xf numFmtId="0" fontId="86" fillId="0" borderId="53"/>
    <xf numFmtId="0" fontId="78" fillId="0" borderId="36" applyNumberFormat="0" applyFont="0" applyFill="0" applyAlignment="0" applyProtection="0"/>
    <xf numFmtId="241" fontId="47" fillId="0" borderId="36"/>
    <xf numFmtId="193" fontId="47" fillId="0" borderId="36"/>
    <xf numFmtId="43" fontId="47" fillId="0" borderId="36"/>
    <xf numFmtId="0" fontId="73" fillId="0" borderId="0">
      <alignment horizontal="centerContinuous"/>
    </xf>
    <xf numFmtId="4" fontId="52" fillId="0" borderId="0" applyFont="0" applyFill="0" applyBorder="0" applyAlignment="0" applyProtection="0"/>
    <xf numFmtId="241" fontId="76" fillId="0" borderId="0" applyFont="0" applyFill="0" applyBorder="0">
      <alignment horizontal="right"/>
    </xf>
    <xf numFmtId="0" fontId="73" fillId="0" borderId="0">
      <alignment horizontal="centerContinuous"/>
    </xf>
    <xf numFmtId="20" fontId="64" fillId="0" borderId="0"/>
    <xf numFmtId="0" fontId="51" fillId="0" borderId="0" applyNumberFormat="0" applyFill="0" applyBorder="0" applyAlignment="0" applyProtection="0"/>
    <xf numFmtId="9" fontId="219" fillId="0" borderId="0" applyNumberFormat="0" applyFill="0" applyBorder="0" applyAlignment="0">
      <protection locked="0"/>
    </xf>
    <xf numFmtId="0" fontId="51" fillId="0" borderId="0" applyNumberFormat="0"/>
    <xf numFmtId="0" fontId="220" fillId="39" borderId="0">
      <alignment horizontal="center"/>
    </xf>
    <xf numFmtId="0" fontId="86" fillId="0" borderId="0"/>
    <xf numFmtId="321" fontId="64" fillId="0" borderId="0" applyFont="0" applyFill="0" applyBorder="0" applyAlignment="0" applyProtection="0"/>
    <xf numFmtId="322" fontId="64" fillId="0" borderId="0" applyFont="0" applyFill="0" applyBorder="0" applyAlignment="0" applyProtection="0"/>
    <xf numFmtId="0" fontId="184" fillId="0" borderId="1"/>
    <xf numFmtId="193" fontId="184" fillId="0" borderId="0">
      <alignment horizontal="right"/>
    </xf>
    <xf numFmtId="323" fontId="30" fillId="0" borderId="0" applyFont="0" applyFill="0" applyBorder="0" applyAlignment="0" applyProtection="0"/>
    <xf numFmtId="324" fontId="30" fillId="0" borderId="0" applyFont="0" applyFill="0" applyBorder="0" applyAlignment="0" applyProtection="0"/>
    <xf numFmtId="0" fontId="221" fillId="0" borderId="76"/>
    <xf numFmtId="0" fontId="118" fillId="36" borderId="0" applyNumberFormat="0" applyFont="0" applyAlignment="0" applyProtection="0"/>
    <xf numFmtId="0" fontId="118" fillId="36" borderId="39" applyNumberFormat="0" applyFont="0" applyAlignment="0" applyProtection="0">
      <protection locked="0"/>
    </xf>
    <xf numFmtId="0" fontId="222" fillId="0" borderId="0" applyNumberFormat="0" applyFill="0" applyBorder="0" applyAlignment="0" applyProtection="0"/>
    <xf numFmtId="0" fontId="44" fillId="69" borderId="0" applyNumberFormat="0" applyBorder="0" applyProtection="0">
      <alignment horizontal="left"/>
    </xf>
    <xf numFmtId="295" fontId="38" fillId="0" borderId="0"/>
    <xf numFmtId="246" fontId="47" fillId="0" borderId="0"/>
    <xf numFmtId="247" fontId="47" fillId="0" borderId="0"/>
    <xf numFmtId="248" fontId="47" fillId="0" borderId="0"/>
    <xf numFmtId="1" fontId="223" fillId="0" borderId="47">
      <alignment horizontal="center"/>
    </xf>
    <xf numFmtId="0" fontId="171" fillId="70" borderId="77" applyNumberFormat="0" applyFont="0" applyBorder="0" applyAlignment="0" applyProtection="0">
      <alignment horizontal="right"/>
    </xf>
    <xf numFmtId="1" fontId="88" fillId="0" borderId="0" applyFont="0" applyFill="0" applyBorder="0" applyAlignment="0" applyProtection="0"/>
    <xf numFmtId="0" fontId="73" fillId="0" borderId="0">
      <alignment horizontal="centerContinuous"/>
    </xf>
    <xf numFmtId="9" fontId="45" fillId="0" borderId="0">
      <alignment horizontal="left"/>
    </xf>
    <xf numFmtId="0" fontId="45" fillId="0" borderId="0">
      <alignment horizontal="left"/>
    </xf>
    <xf numFmtId="0" fontId="224" fillId="0" borderId="0"/>
    <xf numFmtId="325" fontId="30" fillId="0" borderId="0"/>
    <xf numFmtId="0" fontId="225" fillId="0" borderId="0"/>
    <xf numFmtId="242" fontId="225" fillId="0" borderId="0"/>
    <xf numFmtId="0" fontId="47" fillId="0" borderId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9" fontId="44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9" fontId="266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>
      <alignment vertical="center"/>
    </xf>
    <xf numFmtId="0" fontId="41" fillId="71" borderId="78" applyNumberFormat="0" applyFont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227" fillId="0" borderId="79" applyNumberFormat="0" applyFill="0" applyAlignment="0" applyProtection="0">
      <alignment vertical="center"/>
    </xf>
    <xf numFmtId="0" fontId="228" fillId="0" borderId="80" applyNumberFormat="0" applyFill="0" applyAlignment="0" applyProtection="0">
      <alignment vertical="center"/>
    </xf>
    <xf numFmtId="0" fontId="229" fillId="0" borderId="81" applyNumberFormat="0" applyFill="0" applyAlignment="0" applyProtection="0">
      <alignment vertical="center"/>
    </xf>
    <xf numFmtId="0" fontId="229" fillId="0" borderId="0" applyNumberFormat="0" applyFill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47" fillId="0" borderId="0" applyNumberFormat="0" applyFont="0" applyAlignment="0"/>
    <xf numFmtId="0" fontId="44" fillId="0" borderId="0"/>
    <xf numFmtId="0" fontId="23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66" fillId="0" borderId="0">
      <alignment vertical="center"/>
    </xf>
    <xf numFmtId="0" fontId="41" fillId="0" borderId="0"/>
    <xf numFmtId="0" fontId="23" fillId="0" borderId="0">
      <alignment vertical="center"/>
    </xf>
    <xf numFmtId="0" fontId="44" fillId="0" borderId="0">
      <alignment vertical="center"/>
    </xf>
    <xf numFmtId="0" fontId="41" fillId="0" borderId="0"/>
    <xf numFmtId="0" fontId="188" fillId="0" borderId="0"/>
    <xf numFmtId="0" fontId="41" fillId="0" borderId="0"/>
    <xf numFmtId="0" fontId="41" fillId="0" borderId="0"/>
    <xf numFmtId="0" fontId="41" fillId="0" borderId="0">
      <alignment vertical="top"/>
    </xf>
    <xf numFmtId="0" fontId="41" fillId="0" borderId="0"/>
    <xf numFmtId="0" fontId="41" fillId="0" borderId="0"/>
    <xf numFmtId="0" fontId="266" fillId="0" borderId="0">
      <alignment vertical="center"/>
    </xf>
    <xf numFmtId="0" fontId="41" fillId="0" borderId="0"/>
    <xf numFmtId="0" fontId="41" fillId="0" borderId="0"/>
    <xf numFmtId="0" fontId="266" fillId="0" borderId="0">
      <alignment vertical="center"/>
    </xf>
    <xf numFmtId="0" fontId="233" fillId="0" borderId="0" applyNumberFormat="0" applyFill="0" applyBorder="0" applyAlignment="0" applyProtection="0">
      <alignment vertical="top"/>
      <protection locked="0"/>
    </xf>
    <xf numFmtId="0" fontId="234" fillId="0" borderId="0" applyNumberFormat="0" applyFill="0" applyBorder="0" applyAlignment="0" applyProtection="0">
      <alignment vertical="top"/>
      <protection locked="0"/>
    </xf>
    <xf numFmtId="0" fontId="41" fillId="0" borderId="0"/>
    <xf numFmtId="0" fontId="70" fillId="72" borderId="0" applyNumberFormat="0" applyBorder="0" applyAlignment="0" applyProtection="0">
      <alignment vertical="center"/>
    </xf>
    <xf numFmtId="0" fontId="70" fillId="57" borderId="0" applyNumberFormat="0" applyBorder="0" applyAlignment="0" applyProtection="0">
      <alignment vertical="center"/>
    </xf>
    <xf numFmtId="0" fontId="70" fillId="59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58" borderId="0" applyNumberFormat="0" applyBorder="0" applyAlignment="0" applyProtection="0">
      <alignment vertical="center"/>
    </xf>
    <xf numFmtId="0" fontId="188" fillId="0" borderId="0" applyFill="0" applyBorder="0" applyAlignment="0"/>
    <xf numFmtId="0" fontId="235" fillId="24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8" fillId="0" borderId="82" applyNumberFormat="0" applyFill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30" fillId="0" borderId="0" applyFont="0" applyFill="0" applyBorder="0" applyAlignment="0" applyProtection="0"/>
    <xf numFmtId="18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240" fillId="56" borderId="83" applyNumberFormat="0" applyAlignment="0" applyProtection="0">
      <alignment vertical="center"/>
    </xf>
    <xf numFmtId="0" fontId="241" fillId="73" borderId="84" applyNumberFormat="0" applyAlignment="0" applyProtection="0">
      <alignment vertical="center"/>
    </xf>
    <xf numFmtId="0" fontId="242" fillId="0" borderId="0" applyNumberFormat="0" applyFill="0" applyBorder="0" applyAlignment="0" applyProtection="0">
      <alignment vertical="center"/>
    </xf>
    <xf numFmtId="0" fontId="243" fillId="0" borderId="85" applyNumberFormat="0" applyFill="0" applyAlignment="0" applyProtection="0">
      <alignment vertical="center"/>
    </xf>
    <xf numFmtId="326" fontId="41" fillId="0" borderId="0" applyFont="0" applyFill="0" applyBorder="0" applyAlignment="0" applyProtection="0"/>
    <xf numFmtId="327" fontId="41" fillId="0" borderId="0" applyFont="0" applyFill="0" applyBorder="0" applyAlignment="0" applyProtection="0"/>
    <xf numFmtId="328" fontId="41" fillId="0" borderId="0" applyFont="0" applyFill="0" applyBorder="0" applyAlignment="0" applyProtection="0"/>
    <xf numFmtId="329" fontId="41" fillId="0" borderId="0" applyFont="0" applyFill="0" applyBorder="0" applyAlignment="0" applyProtection="0"/>
    <xf numFmtId="0" fontId="44" fillId="0" borderId="0"/>
    <xf numFmtId="43" fontId="69" fillId="0" borderId="0" applyFont="0" applyFill="0" applyBorder="0" applyAlignment="0" applyProtection="0">
      <alignment vertical="center"/>
    </xf>
    <xf numFmtId="184" fontId="41" fillId="0" borderId="0" applyFont="0" applyFill="0" applyBorder="0" applyAlignment="0" applyProtection="0"/>
    <xf numFmtId="191" fontId="44" fillId="0" borderId="0" applyFont="0" applyFill="0" applyBorder="0" applyAlignment="0" applyProtection="0"/>
    <xf numFmtId="184" fontId="44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84" fontId="266" fillId="0" borderId="0" applyFont="0" applyFill="0" applyBorder="0" applyAlignment="0" applyProtection="0">
      <alignment vertical="center"/>
    </xf>
    <xf numFmtId="40" fontId="44" fillId="0" borderId="0" applyFont="0" applyFill="0" applyBorder="0" applyAlignment="0" applyProtection="0">
      <alignment vertical="center"/>
    </xf>
    <xf numFmtId="184" fontId="188" fillId="0" borderId="0" applyFont="0" applyFill="0" applyBorder="0" applyAlignment="0" applyProtection="0"/>
    <xf numFmtId="184" fontId="188" fillId="0" borderId="0" applyFont="0" applyFill="0" applyBorder="0" applyAlignment="0" applyProtection="0"/>
    <xf numFmtId="184" fontId="23" fillId="0" borderId="0" applyFont="0" applyFill="0" applyBorder="0" applyAlignment="0" applyProtection="0">
      <alignment vertical="center"/>
    </xf>
    <xf numFmtId="184" fontId="41" fillId="0" borderId="0" applyFont="0" applyFill="0" applyBorder="0" applyAlignment="0" applyProtection="0"/>
    <xf numFmtId="40" fontId="44" fillId="0" borderId="0" applyFont="0" applyFill="0" applyBorder="0" applyAlignment="0" applyProtection="0">
      <alignment vertical="center"/>
    </xf>
    <xf numFmtId="184" fontId="188" fillId="0" borderId="0" applyFont="0" applyFill="0" applyBorder="0" applyAlignment="0" applyProtection="0"/>
    <xf numFmtId="184" fontId="188" fillId="0" borderId="0" applyFont="0" applyFill="0" applyBorder="0" applyAlignment="0" applyProtection="0"/>
    <xf numFmtId="184" fontId="41" fillId="0" borderId="0" applyFont="0" applyFill="0" applyBorder="0" applyAlignment="0" applyProtection="0"/>
    <xf numFmtId="0" fontId="41" fillId="0" borderId="0" applyFont="0" applyFill="0" applyBorder="0" applyAlignment="0" applyProtection="0">
      <alignment vertical="center"/>
    </xf>
    <xf numFmtId="184" fontId="41" fillId="0" borderId="0" applyFont="0" applyFill="0" applyBorder="0" applyAlignment="0" applyProtection="0"/>
    <xf numFmtId="43" fontId="44" fillId="0" borderId="0" applyFont="0" applyFill="0" applyBorder="0" applyAlignment="0" applyProtection="0">
      <alignment vertical="center"/>
    </xf>
    <xf numFmtId="184" fontId="41" fillId="0" borderId="0" applyFont="0" applyFill="0" applyBorder="0" applyAlignment="0" applyProtection="0">
      <alignment vertical="center"/>
    </xf>
    <xf numFmtId="184" fontId="266" fillId="0" borderId="0" applyFont="0" applyFill="0" applyBorder="0" applyAlignment="0" applyProtection="0">
      <alignment vertical="center"/>
    </xf>
    <xf numFmtId="184" fontId="41" fillId="0" borderId="0" applyFont="0" applyFill="0" applyBorder="0" applyAlignment="0" applyProtection="0"/>
    <xf numFmtId="184" fontId="41" fillId="0" borderId="0" applyFont="0" applyFill="0" applyBorder="0" applyAlignment="0" applyProtection="0"/>
    <xf numFmtId="184" fontId="266" fillId="0" borderId="0" applyFont="0" applyFill="0" applyBorder="0" applyAlignment="0" applyProtection="0">
      <alignment vertical="center"/>
    </xf>
    <xf numFmtId="191" fontId="23" fillId="0" borderId="0" applyFont="0" applyFill="0" applyBorder="0" applyAlignment="0" applyProtection="0">
      <alignment vertical="center"/>
    </xf>
    <xf numFmtId="191" fontId="41" fillId="0" borderId="0" applyFont="0" applyFill="0" applyBorder="0" applyAlignment="0" applyProtection="0"/>
    <xf numFmtId="191" fontId="41" fillId="0" borderId="0" applyFont="0" applyFill="0" applyBorder="0" applyAlignment="0" applyProtection="0"/>
    <xf numFmtId="191" fontId="41" fillId="0" borderId="0" applyFont="0" applyFill="0" applyBorder="0" applyAlignment="0" applyProtection="0">
      <alignment vertical="center"/>
    </xf>
    <xf numFmtId="0" fontId="244" fillId="0" borderId="0"/>
    <xf numFmtId="0" fontId="245" fillId="56" borderId="86" applyNumberFormat="0" applyAlignment="0" applyProtection="0">
      <alignment vertical="center"/>
    </xf>
    <xf numFmtId="0" fontId="246" fillId="27" borderId="83" applyNumberFormat="0" applyAlignment="0" applyProtection="0">
      <alignment vertical="center"/>
    </xf>
    <xf numFmtId="0" fontId="247" fillId="0" borderId="0" applyNumberFormat="0" applyFill="0" applyBorder="0" applyAlignment="0" applyProtection="0">
      <alignment vertical="center"/>
    </xf>
    <xf numFmtId="0" fontId="248" fillId="0" borderId="0" applyNumberFormat="0" applyFill="0" applyBorder="0" applyAlignment="0" applyProtection="0">
      <alignment vertical="top"/>
      <protection locked="0"/>
    </xf>
    <xf numFmtId="0" fontId="30" fillId="0" borderId="0"/>
    <xf numFmtId="0" fontId="249" fillId="73" borderId="84" applyNumberFormat="0" applyAlignment="0" applyProtection="0">
      <alignment vertical="center"/>
    </xf>
    <xf numFmtId="0" fontId="250" fillId="0" borderId="0" applyNumberFormat="0" applyFill="0" applyBorder="0" applyAlignment="0" applyProtection="0">
      <alignment vertical="center"/>
    </xf>
    <xf numFmtId="0" fontId="251" fillId="0" borderId="0" applyNumberFormat="0" applyFill="0" applyBorder="0" applyAlignment="0" applyProtection="0">
      <alignment vertical="center"/>
    </xf>
    <xf numFmtId="0" fontId="252" fillId="0" borderId="85" applyNumberFormat="0" applyFill="0" applyAlignment="0" applyProtection="0">
      <alignment vertical="center"/>
    </xf>
    <xf numFmtId="0" fontId="63" fillId="72" borderId="0" applyNumberFormat="0" applyBorder="0" applyAlignment="0" applyProtection="0">
      <alignment vertical="center"/>
    </xf>
    <xf numFmtId="0" fontId="63" fillId="57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33" borderId="0" applyNumberFormat="0" applyBorder="0" applyAlignment="0" applyProtection="0">
      <alignment vertical="center"/>
    </xf>
    <xf numFmtId="0" fontId="63" fillId="34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253" fillId="0" borderId="79" applyNumberFormat="0" applyFill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5" fillId="56" borderId="86" applyNumberFormat="0" applyAlignment="0" applyProtection="0">
      <alignment vertical="center"/>
    </xf>
    <xf numFmtId="0" fontId="256" fillId="27" borderId="83" applyNumberFormat="0" applyAlignment="0" applyProtection="0">
      <alignment vertical="center"/>
    </xf>
    <xf numFmtId="0" fontId="30" fillId="71" borderId="78" applyNumberFormat="0" applyFont="0" applyAlignment="0" applyProtection="0">
      <alignment vertical="center"/>
    </xf>
    <xf numFmtId="0" fontId="257" fillId="0" borderId="80" applyNumberFormat="0" applyFill="0" applyAlignment="0" applyProtection="0">
      <alignment vertical="center"/>
    </xf>
    <xf numFmtId="0" fontId="258" fillId="0" borderId="81" applyNumberFormat="0" applyFill="0" applyAlignment="0" applyProtection="0">
      <alignment vertical="center"/>
    </xf>
    <xf numFmtId="0" fontId="258" fillId="0" borderId="0" applyNumberFormat="0" applyFill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59" fillId="0" borderId="82" applyNumberFormat="0" applyFill="0" applyAlignment="0" applyProtection="0">
      <alignment vertical="center"/>
    </xf>
    <xf numFmtId="0" fontId="260" fillId="56" borderId="83" applyNumberFormat="0" applyAlignment="0" applyProtection="0">
      <alignment vertical="center"/>
    </xf>
    <xf numFmtId="0" fontId="69" fillId="0" borderId="0">
      <alignment vertical="center"/>
    </xf>
    <xf numFmtId="0" fontId="41" fillId="0" borderId="0"/>
    <xf numFmtId="0" fontId="41" fillId="0" borderId="0"/>
    <xf numFmtId="0" fontId="41" fillId="0" borderId="0"/>
    <xf numFmtId="330" fontId="47" fillId="0" borderId="0" applyFont="0" applyFill="0" applyBorder="0" applyAlignment="0" applyProtection="0"/>
    <xf numFmtId="331" fontId="47" fillId="0" borderId="0" applyFont="0" applyFill="0" applyBorder="0" applyAlignment="0" applyProtection="0"/>
    <xf numFmtId="0" fontId="261" fillId="20" borderId="0" applyNumberFormat="0" applyBorder="0" applyAlignment="0" applyProtection="0">
      <alignment vertical="center"/>
    </xf>
    <xf numFmtId="191" fontId="262" fillId="0" borderId="0" applyFont="0" applyFill="0" applyBorder="0" applyAlignment="0" applyProtection="0"/>
    <xf numFmtId="184" fontId="262" fillId="0" borderId="0" applyFont="0" applyFill="0" applyBorder="0" applyAlignment="0" applyProtection="0"/>
    <xf numFmtId="9" fontId="64" fillId="0" borderId="0"/>
    <xf numFmtId="3" fontId="64" fillId="0" borderId="0"/>
    <xf numFmtId="184" fontId="108" fillId="0" borderId="0" applyFont="0" applyFill="0" applyBorder="0" applyAlignment="0" applyProtection="0">
      <alignment vertical="center"/>
    </xf>
    <xf numFmtId="0" fontId="52" fillId="0" borderId="0"/>
    <xf numFmtId="0" fontId="52" fillId="0" borderId="0"/>
    <xf numFmtId="177" fontId="64" fillId="0" borderId="0" applyFont="0" applyFill="0" applyBorder="0" applyAlignment="0" applyProtection="0"/>
    <xf numFmtId="14" fontId="64" fillId="0" borderId="0"/>
    <xf numFmtId="2" fontId="117" fillId="0" borderId="41" applyFont="0" applyFill="0" applyBorder="0" applyAlignment="0"/>
    <xf numFmtId="310" fontId="64" fillId="0" borderId="0" applyFill="0" applyBorder="0">
      <alignment horizontal="right"/>
      <protection locked="0"/>
    </xf>
    <xf numFmtId="14" fontId="117" fillId="0" borderId="0" applyNumberFormat="0" applyFill="0" applyBorder="0" applyAlignment="0" applyProtection="0">
      <alignment horizontal="left"/>
    </xf>
    <xf numFmtId="0" fontId="106" fillId="0" borderId="69"/>
    <xf numFmtId="20" fontId="64" fillId="0" borderId="0"/>
    <xf numFmtId="0" fontId="266" fillId="0" borderId="0">
      <alignment vertical="center"/>
    </xf>
    <xf numFmtId="184" fontId="266" fillId="0" borderId="0" applyFont="0" applyFill="0" applyBorder="0" applyAlignment="0" applyProtection="0">
      <alignment vertical="center"/>
    </xf>
    <xf numFmtId="0" fontId="162" fillId="0" borderId="41" applyNumberFormat="0" applyFont="0" applyFill="0" applyBorder="0" applyAlignment="0"/>
    <xf numFmtId="0" fontId="18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41" fillId="0" borderId="0">
      <alignment vertical="center"/>
    </xf>
    <xf numFmtId="0" fontId="2" fillId="0" borderId="0">
      <alignment vertical="center"/>
    </xf>
    <xf numFmtId="43" fontId="44" fillId="0" borderId="0" applyFont="0" applyFill="0" applyBorder="0" applyAlignment="0" applyProtection="0">
      <alignment vertical="center"/>
    </xf>
    <xf numFmtId="0" fontId="266" fillId="0" borderId="0">
      <alignment vertical="center"/>
    </xf>
    <xf numFmtId="43" fontId="44" fillId="0" borderId="0" applyFont="0" applyFill="0" applyBorder="0" applyAlignment="0" applyProtection="0">
      <alignment vertical="center"/>
    </xf>
    <xf numFmtId="184" fontId="268" fillId="0" borderId="0" applyBorder="0" applyProtection="0"/>
    <xf numFmtId="184" fontId="23" fillId="0" borderId="0" applyFont="0" applyFill="0" applyBorder="0" applyAlignment="0" applyProtection="0">
      <alignment vertical="center"/>
    </xf>
    <xf numFmtId="184" fontId="23" fillId="0" borderId="0" applyFont="0" applyFill="0" applyBorder="0" applyAlignment="0" applyProtection="0">
      <alignment vertical="center"/>
    </xf>
    <xf numFmtId="184" fontId="41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91" fontId="268" fillId="0" borderId="0" applyBorder="0" applyProtection="0"/>
    <xf numFmtId="0" fontId="18" fillId="0" borderId="0"/>
    <xf numFmtId="184" fontId="18" fillId="0" borderId="0" applyFont="0" applyFill="0" applyBorder="0" applyAlignment="0" applyProtection="0">
      <alignment vertical="center"/>
    </xf>
    <xf numFmtId="1" fontId="269" fillId="0" borderId="0"/>
    <xf numFmtId="0" fontId="47" fillId="0" borderId="0"/>
    <xf numFmtId="0" fontId="30" fillId="0" borderId="0"/>
    <xf numFmtId="203" fontId="270" fillId="0" borderId="0" applyFont="0" applyFill="0" applyBorder="0" applyAlignment="0" applyProtection="0"/>
    <xf numFmtId="336" fontId="270" fillId="0" borderId="0" applyFont="0" applyFill="0" applyBorder="0" applyAlignment="0" applyProtection="0"/>
    <xf numFmtId="39" fontId="270" fillId="0" borderId="0" applyFont="0" applyFill="0" applyBorder="0" applyAlignment="0" applyProtection="0"/>
    <xf numFmtId="210" fontId="270" fillId="0" borderId="0" applyFont="0" applyFill="0" applyBorder="0" applyAlignment="0" applyProtection="0"/>
    <xf numFmtId="213" fontId="270" fillId="0" borderId="0" applyFont="0" applyFill="0" applyBorder="0" applyAlignment="0" applyProtection="0"/>
    <xf numFmtId="215" fontId="270" fillId="0" borderId="0" applyFont="0" applyFill="0" applyBorder="0" applyAlignment="0" applyProtection="0"/>
    <xf numFmtId="217" fontId="270" fillId="0" borderId="0" applyFont="0" applyFill="0" applyBorder="0" applyAlignment="0" applyProtection="0"/>
    <xf numFmtId="0" fontId="271" fillId="0" borderId="0"/>
    <xf numFmtId="0" fontId="271" fillId="0" borderId="0"/>
    <xf numFmtId="0" fontId="30" fillId="0" borderId="0"/>
    <xf numFmtId="0" fontId="272" fillId="0" borderId="0"/>
    <xf numFmtId="0" fontId="162" fillId="0" borderId="41" applyNumberFormat="0" applyFont="0" applyFill="0" applyBorder="0" applyAlignment="0"/>
    <xf numFmtId="0" fontId="273" fillId="22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5" borderId="0" applyNumberFormat="0" applyBorder="0" applyAlignment="0" applyProtection="0">
      <alignment vertical="center"/>
    </xf>
    <xf numFmtId="0" fontId="273" fillId="26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29" borderId="0" applyNumberFormat="0" applyBorder="0" applyAlignment="0" applyProtection="0">
      <alignment vertical="center"/>
    </xf>
    <xf numFmtId="0" fontId="273" fillId="30" borderId="0" applyNumberFormat="0" applyBorder="0" applyAlignment="0" applyProtection="0">
      <alignment vertical="center"/>
    </xf>
    <xf numFmtId="0" fontId="273" fillId="25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4" fillId="29" borderId="0" applyNumberFormat="0" applyBorder="0" applyAlignment="0" applyProtection="0">
      <alignment vertical="center"/>
    </xf>
    <xf numFmtId="0" fontId="274" fillId="30" borderId="0" applyNumberFormat="0" applyBorder="0" applyAlignment="0" applyProtection="0">
      <alignment vertical="center"/>
    </xf>
    <xf numFmtId="0" fontId="274" fillId="33" borderId="0" applyNumberFormat="0" applyBorder="0" applyAlignment="0" applyProtection="0">
      <alignment vertical="center"/>
    </xf>
    <xf numFmtId="0" fontId="274" fillId="34" borderId="0" applyNumberFormat="0" applyBorder="0" applyAlignment="0" applyProtection="0">
      <alignment vertical="center"/>
    </xf>
    <xf numFmtId="0" fontId="274" fillId="21" borderId="0" applyNumberFormat="0" applyBorder="0" applyAlignment="0" applyProtection="0">
      <alignment vertical="center"/>
    </xf>
    <xf numFmtId="14" fontId="275" fillId="0" borderId="0"/>
    <xf numFmtId="1" fontId="276" fillId="0" borderId="0"/>
    <xf numFmtId="337" fontId="56" fillId="0" borderId="0" applyFill="0" applyBorder="0" applyAlignment="0"/>
    <xf numFmtId="338" fontId="101" fillId="74" borderId="0">
      <alignment horizontal="left"/>
    </xf>
    <xf numFmtId="339" fontId="38" fillId="0" borderId="0"/>
    <xf numFmtId="0" fontId="277" fillId="38" borderId="0">
      <alignment horizontal="left"/>
    </xf>
    <xf numFmtId="0" fontId="278" fillId="38" borderId="0">
      <alignment horizontal="right"/>
    </xf>
    <xf numFmtId="0" fontId="279" fillId="39" borderId="0">
      <alignment horizontal="center"/>
    </xf>
    <xf numFmtId="0" fontId="280" fillId="55" borderId="0" applyNumberFormat="0">
      <alignment horizontal="center"/>
    </xf>
    <xf numFmtId="0" fontId="278" fillId="38" borderId="0">
      <alignment horizontal="right"/>
    </xf>
    <xf numFmtId="0" fontId="279" fillId="39" borderId="0">
      <alignment horizontal="left"/>
    </xf>
    <xf numFmtId="340" fontId="30" fillId="0" borderId="0"/>
    <xf numFmtId="340" fontId="30" fillId="0" borderId="0"/>
    <xf numFmtId="340" fontId="30" fillId="0" borderId="0"/>
    <xf numFmtId="340" fontId="30" fillId="0" borderId="0"/>
    <xf numFmtId="340" fontId="30" fillId="0" borderId="0"/>
    <xf numFmtId="340" fontId="30" fillId="0" borderId="0"/>
    <xf numFmtId="340" fontId="30" fillId="0" borderId="0"/>
    <xf numFmtId="340" fontId="30" fillId="0" borderId="0"/>
    <xf numFmtId="184" fontId="41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4" fontId="266" fillId="0" borderId="0" applyFont="0" applyFill="0" applyBorder="0" applyAlignment="0" applyProtection="0">
      <alignment vertical="center"/>
    </xf>
    <xf numFmtId="192" fontId="41" fillId="0" borderId="0" applyFont="0" applyFill="0" applyBorder="0" applyAlignment="0" applyProtection="0">
      <alignment vertical="center"/>
    </xf>
    <xf numFmtId="41" fontId="47" fillId="0" borderId="0"/>
    <xf numFmtId="39" fontId="275" fillId="0" borderId="0">
      <alignment horizontal="right"/>
    </xf>
    <xf numFmtId="341" fontId="38" fillId="0" borderId="0" applyFill="0" applyProtection="0">
      <alignment vertical="center"/>
    </xf>
    <xf numFmtId="342" fontId="30" fillId="0" borderId="0"/>
    <xf numFmtId="281" fontId="30" fillId="0" borderId="0" applyFont="0" applyFill="0" applyBorder="0" applyAlignment="0" applyProtection="0"/>
    <xf numFmtId="0" fontId="30" fillId="0" borderId="88" applyNumberFormat="0" applyFont="0" applyFill="0" applyBorder="0" applyAlignment="0" applyProtection="0"/>
    <xf numFmtId="235" fontId="275" fillId="0" borderId="0" applyBorder="0"/>
    <xf numFmtId="49" fontId="281" fillId="0" borderId="87">
      <alignment horizontal="center"/>
    </xf>
    <xf numFmtId="0" fontId="282" fillId="0" borderId="0">
      <alignment horizontal="left" indent="2"/>
    </xf>
    <xf numFmtId="0" fontId="283" fillId="0" borderId="0" applyNumberFormat="0" applyFill="0" applyBorder="0" applyAlignment="0" applyProtection="0">
      <alignment horizontal="left"/>
    </xf>
    <xf numFmtId="0" fontId="284" fillId="0" borderId="0" applyNumberFormat="0" applyFill="0" applyBorder="0" applyAlignment="0" applyProtection="0">
      <alignment horizontal="left"/>
    </xf>
    <xf numFmtId="0" fontId="284" fillId="0" borderId="0" applyNumberFormat="0" applyFill="0" applyBorder="0" applyAlignment="0" applyProtection="0">
      <alignment horizontal="left"/>
    </xf>
    <xf numFmtId="0" fontId="285" fillId="0" borderId="0" applyNumberFormat="0" applyFill="0" applyBorder="0" applyAlignment="0" applyProtection="0">
      <alignment horizontal="left"/>
    </xf>
    <xf numFmtId="0" fontId="285" fillId="0" borderId="0" applyNumberFormat="0" applyFill="0" applyAlignment="0" applyProtection="0">
      <alignment horizontal="left"/>
    </xf>
    <xf numFmtId="0" fontId="285" fillId="0" borderId="0" applyNumberFormat="0" applyFill="0" applyBorder="0" applyAlignment="0" applyProtection="0">
      <alignment horizontal="left"/>
    </xf>
    <xf numFmtId="0" fontId="285" fillId="0" borderId="0" applyNumberFormat="0" applyFill="0" applyBorder="0" applyAlignment="0" applyProtection="0">
      <alignment horizontal="left"/>
    </xf>
    <xf numFmtId="0" fontId="286" fillId="0" borderId="0" applyNumberFormat="0" applyFill="0" applyBorder="0" applyAlignment="0" applyProtection="0">
      <alignment horizontal="left"/>
    </xf>
    <xf numFmtId="0" fontId="286" fillId="0" borderId="0" applyNumberFormat="0" applyFill="0" applyBorder="0" applyAlignment="0" applyProtection="0">
      <alignment horizontal="left"/>
    </xf>
    <xf numFmtId="0" fontId="137" fillId="0" borderId="21">
      <alignment horizontal="left" vertical="center"/>
    </xf>
    <xf numFmtId="0" fontId="137" fillId="0" borderId="21">
      <alignment horizontal="left" vertical="center"/>
    </xf>
    <xf numFmtId="0" fontId="30" fillId="55" borderId="31" applyNumberFormat="0" applyFont="0" applyBorder="0" applyAlignment="0" applyProtection="0"/>
    <xf numFmtId="37" fontId="275" fillId="0" borderId="0" applyBorder="0"/>
    <xf numFmtId="0" fontId="178" fillId="0" borderId="54">
      <alignment vertical="top"/>
    </xf>
    <xf numFmtId="10" fontId="67" fillId="45" borderId="1" applyNumberFormat="0" applyBorder="0" applyAlignment="0" applyProtection="0"/>
    <xf numFmtId="10" fontId="67" fillId="45" borderId="1" applyNumberFormat="0" applyBorder="0" applyAlignment="0" applyProtection="0"/>
    <xf numFmtId="0" fontId="277" fillId="38" borderId="0">
      <alignment horizontal="left"/>
    </xf>
    <xf numFmtId="0" fontId="287" fillId="39" borderId="0">
      <alignment horizontal="left"/>
    </xf>
    <xf numFmtId="343" fontId="275" fillId="0" borderId="0"/>
    <xf numFmtId="38" fontId="44" fillId="0" borderId="0"/>
    <xf numFmtId="38" fontId="178" fillId="1" borderId="47"/>
    <xf numFmtId="344" fontId="30" fillId="0" borderId="0" applyFont="0" applyFill="0" applyBorder="0" applyAlignment="0" applyProtection="0"/>
    <xf numFmtId="324" fontId="30" fillId="0" borderId="0" applyFont="0" applyFill="0" applyBorder="0" applyAlignment="0" applyProtection="0"/>
    <xf numFmtId="0" fontId="221" fillId="0" borderId="0"/>
    <xf numFmtId="0" fontId="221" fillId="0" borderId="0"/>
    <xf numFmtId="0" fontId="221" fillId="0" borderId="0"/>
    <xf numFmtId="0" fontId="221" fillId="0" borderId="0"/>
    <xf numFmtId="0" fontId="221" fillId="0" borderId="0"/>
    <xf numFmtId="0" fontId="221" fillId="0" borderId="0"/>
    <xf numFmtId="0" fontId="221" fillId="0" borderId="0"/>
    <xf numFmtId="0" fontId="221" fillId="0" borderId="0"/>
    <xf numFmtId="0" fontId="108" fillId="0" borderId="0"/>
    <xf numFmtId="0" fontId="108" fillId="0" borderId="0">
      <alignment vertical="center"/>
    </xf>
    <xf numFmtId="0" fontId="41" fillId="0" borderId="0">
      <alignment vertical="center"/>
    </xf>
    <xf numFmtId="0" fontId="2" fillId="0" borderId="0">
      <alignment vertical="center"/>
    </xf>
    <xf numFmtId="0" fontId="30" fillId="0" borderId="0">
      <protection locked="0"/>
    </xf>
    <xf numFmtId="0" fontId="30" fillId="0" borderId="0"/>
    <xf numFmtId="345" fontId="30" fillId="0" borderId="0" applyFont="0" applyFill="0" applyBorder="0" applyAlignment="0"/>
    <xf numFmtId="0" fontId="30" fillId="0" borderId="88" applyNumberFormat="0" applyFont="0" applyFill="0" applyBorder="0" applyAlignment="0" applyProtection="0"/>
    <xf numFmtId="346" fontId="288" fillId="39" borderId="0">
      <alignment horizontal="right"/>
    </xf>
    <xf numFmtId="0" fontId="289" fillId="75" borderId="0">
      <alignment horizontal="center"/>
    </xf>
    <xf numFmtId="0" fontId="290" fillId="76" borderId="0"/>
    <xf numFmtId="0" fontId="291" fillId="39" borderId="0" applyBorder="0">
      <alignment horizontal="centerContinuous"/>
    </xf>
    <xf numFmtId="0" fontId="292" fillId="76" borderId="0" applyBorder="0">
      <alignment horizontal="centerContinuous"/>
    </xf>
    <xf numFmtId="0" fontId="30" fillId="0" borderId="89" applyNumberFormat="0" applyFont="0" applyFill="0" applyBorder="0" applyAlignment="0" applyProtection="0"/>
    <xf numFmtId="0" fontId="30" fillId="0" borderId="36" applyNumberFormat="0" applyFont="0" applyFill="0" applyAlignment="0" applyProtection="0"/>
    <xf numFmtId="347" fontId="275" fillId="0" borderId="40" applyBorder="0"/>
    <xf numFmtId="347" fontId="275" fillId="0" borderId="40" applyBorder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08" fillId="0" borderId="0" applyFont="0" applyFill="0" applyBorder="0" applyAlignment="0" applyProtection="0"/>
    <xf numFmtId="9" fontId="41" fillId="0" borderId="0" applyFont="0" applyFill="0" applyBorder="0" applyAlignment="0" applyProtection="0">
      <alignment vertical="center"/>
    </xf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87" fillId="20" borderId="0">
      <alignment horizontal="center"/>
    </xf>
    <xf numFmtId="49" fontId="293" fillId="39" borderId="0">
      <alignment horizontal="center"/>
    </xf>
    <xf numFmtId="0" fontId="278" fillId="38" borderId="0">
      <alignment horizontal="center"/>
    </xf>
    <xf numFmtId="0" fontId="278" fillId="38" borderId="0">
      <alignment horizontal="centerContinuous"/>
    </xf>
    <xf numFmtId="0" fontId="294" fillId="39" borderId="0">
      <alignment horizontal="left"/>
    </xf>
    <xf numFmtId="49" fontId="294" fillId="39" borderId="0">
      <alignment horizontal="center"/>
    </xf>
    <xf numFmtId="0" fontId="277" fillId="38" borderId="0">
      <alignment horizontal="left"/>
    </xf>
    <xf numFmtId="49" fontId="294" fillId="39" borderId="0">
      <alignment horizontal="left"/>
    </xf>
    <xf numFmtId="0" fontId="277" fillId="38" borderId="0">
      <alignment horizontal="centerContinuous"/>
    </xf>
    <xf numFmtId="0" fontId="277" fillId="38" borderId="0">
      <alignment horizontal="right"/>
    </xf>
    <xf numFmtId="49" fontId="287" fillId="39" borderId="0">
      <alignment horizontal="left"/>
    </xf>
    <xf numFmtId="0" fontId="278" fillId="38" borderId="0">
      <alignment horizontal="right"/>
    </xf>
    <xf numFmtId="0" fontId="294" fillId="27" borderId="0">
      <alignment horizontal="center"/>
    </xf>
    <xf numFmtId="0" fontId="295" fillId="27" borderId="0">
      <alignment horizontal="center"/>
    </xf>
    <xf numFmtId="4" fontId="166" fillId="48" borderId="66" applyNumberFormat="0" applyProtection="0">
      <alignment vertical="center"/>
    </xf>
    <xf numFmtId="4" fontId="296" fillId="48" borderId="66" applyNumberFormat="0" applyProtection="0">
      <alignment vertical="center"/>
    </xf>
    <xf numFmtId="4" fontId="297" fillId="48" borderId="66" applyNumberFormat="0" applyProtection="0">
      <alignment horizontal="left" vertical="center" indent="1"/>
    </xf>
    <xf numFmtId="4" fontId="297" fillId="63" borderId="0" applyNumberFormat="0" applyProtection="0">
      <alignment horizontal="left" vertical="center" indent="1"/>
    </xf>
    <xf numFmtId="4" fontId="297" fillId="77" borderId="66" applyNumberFormat="0" applyProtection="0">
      <alignment horizontal="right" vertical="center"/>
    </xf>
    <xf numFmtId="4" fontId="297" fillId="78" borderId="66" applyNumberFormat="0" applyProtection="0">
      <alignment horizontal="right" vertical="center"/>
    </xf>
    <xf numFmtId="4" fontId="297" fillId="79" borderId="66" applyNumberFormat="0" applyProtection="0">
      <alignment horizontal="right" vertical="center"/>
    </xf>
    <xf numFmtId="4" fontId="297" fillId="53" borderId="66" applyNumberFormat="0" applyProtection="0">
      <alignment horizontal="right" vertical="center"/>
    </xf>
    <xf numFmtId="4" fontId="297" fillId="80" borderId="66" applyNumberFormat="0" applyProtection="0">
      <alignment horizontal="right" vertical="center"/>
    </xf>
    <xf numFmtId="4" fontId="297" fillId="81" borderId="66" applyNumberFormat="0" applyProtection="0">
      <alignment horizontal="right" vertical="center"/>
    </xf>
    <xf numFmtId="4" fontId="297" fillId="82" borderId="66" applyNumberFormat="0" applyProtection="0">
      <alignment horizontal="right" vertical="center"/>
    </xf>
    <xf numFmtId="4" fontId="297" fillId="83" borderId="66" applyNumberFormat="0" applyProtection="0">
      <alignment horizontal="right" vertical="center"/>
    </xf>
    <xf numFmtId="4" fontId="297" fillId="84" borderId="66" applyNumberFormat="0" applyProtection="0">
      <alignment horizontal="right" vertical="center"/>
    </xf>
    <xf numFmtId="4" fontId="166" fillId="85" borderId="67" applyNumberFormat="0" applyProtection="0">
      <alignment horizontal="left" vertical="center" indent="1"/>
    </xf>
    <xf numFmtId="4" fontId="166" fillId="55" borderId="0" applyNumberFormat="0" applyProtection="0">
      <alignment horizontal="left" vertical="center" indent="1"/>
    </xf>
    <xf numFmtId="4" fontId="297" fillId="55" borderId="66" applyNumberFormat="0" applyProtection="0">
      <alignment horizontal="right" vertical="center"/>
    </xf>
    <xf numFmtId="4" fontId="166" fillId="55" borderId="0" applyNumberFormat="0" applyProtection="0">
      <alignment horizontal="left" vertical="center" indent="1"/>
    </xf>
    <xf numFmtId="4" fontId="297" fillId="63" borderId="0" applyNumberFormat="0" applyProtection="0">
      <alignment horizontal="left" vertical="center" indent="1"/>
    </xf>
    <xf numFmtId="4" fontId="297" fillId="54" borderId="66" applyNumberFormat="0" applyProtection="0">
      <alignment vertical="center"/>
    </xf>
    <xf numFmtId="4" fontId="298" fillId="54" borderId="66" applyNumberFormat="0" applyProtection="0">
      <alignment vertical="center"/>
    </xf>
    <xf numFmtId="4" fontId="166" fillId="55" borderId="90" applyNumberFormat="0" applyProtection="0">
      <alignment horizontal="left" vertical="center" indent="1"/>
    </xf>
    <xf numFmtId="4" fontId="297" fillId="54" borderId="66" applyNumberFormat="0" applyProtection="0">
      <alignment horizontal="right" vertical="center"/>
    </xf>
    <xf numFmtId="4" fontId="298" fillId="54" borderId="66" applyNumberFormat="0" applyProtection="0">
      <alignment horizontal="right" vertical="center"/>
    </xf>
    <xf numFmtId="4" fontId="166" fillId="55" borderId="66" applyNumberFormat="0" applyProtection="0">
      <alignment horizontal="left" vertical="center" indent="1"/>
    </xf>
    <xf numFmtId="4" fontId="190" fillId="43" borderId="90" applyNumberFormat="0" applyProtection="0">
      <alignment horizontal="left" vertical="center" indent="1"/>
    </xf>
    <xf numFmtId="4" fontId="299" fillId="54" borderId="66" applyNumberFormat="0" applyProtection="0">
      <alignment horizontal="right" vertical="center"/>
    </xf>
    <xf numFmtId="0" fontId="30" fillId="55" borderId="0" applyNumberFormat="0" applyBorder="0" applyProtection="0">
      <alignment horizontal="center"/>
    </xf>
    <xf numFmtId="0" fontId="300" fillId="0" borderId="0">
      <alignment horizontal="left"/>
    </xf>
    <xf numFmtId="0" fontId="280" fillId="0" borderId="0">
      <alignment horizontal="left" indent="1"/>
    </xf>
    <xf numFmtId="49" fontId="275" fillId="0" borderId="0"/>
    <xf numFmtId="18" fontId="275" fillId="0" borderId="0" applyFill="0" applyProtection="0">
      <alignment horizontal="center"/>
    </xf>
    <xf numFmtId="40" fontId="113" fillId="0" borderId="0"/>
    <xf numFmtId="0" fontId="301" fillId="0" borderId="0">
      <alignment wrapText="1"/>
    </xf>
    <xf numFmtId="0" fontId="302" fillId="0" borderId="0">
      <alignment horizontal="center"/>
    </xf>
    <xf numFmtId="0" fontId="282" fillId="0" borderId="0">
      <alignment horizontal="center"/>
    </xf>
    <xf numFmtId="348" fontId="30" fillId="0" borderId="36"/>
    <xf numFmtId="348" fontId="30" fillId="0" borderId="39"/>
    <xf numFmtId="348" fontId="30" fillId="0" borderId="21"/>
    <xf numFmtId="348" fontId="30" fillId="0" borderId="21"/>
    <xf numFmtId="0" fontId="303" fillId="0" borderId="0" applyNumberFormat="0" applyFill="0" applyBorder="0" applyAlignment="0" applyProtection="0">
      <alignment horizontal="left"/>
    </xf>
    <xf numFmtId="0" fontId="304" fillId="0" borderId="0" applyNumberFormat="0" applyFill="0" applyBorder="0" applyAlignment="0" applyProtection="0">
      <alignment horizontal="left"/>
    </xf>
    <xf numFmtId="0" fontId="305" fillId="0" borderId="0" applyNumberFormat="0" applyFill="0" applyBorder="0" applyAlignment="0" applyProtection="0">
      <alignment horizontal="left"/>
    </xf>
    <xf numFmtId="0" fontId="306" fillId="0" borderId="0" applyNumberFormat="0" applyFill="0" applyBorder="0" applyAlignment="0" applyProtection="0">
      <alignment horizontal="left"/>
    </xf>
    <xf numFmtId="0" fontId="307" fillId="0" borderId="0" applyNumberFormat="0" applyFill="0" applyBorder="0" applyAlignment="0" applyProtection="0">
      <alignment horizontal="left"/>
    </xf>
    <xf numFmtId="0" fontId="306" fillId="0" borderId="39" applyNumberFormat="0" applyFill="0" applyBorder="0" applyAlignment="0" applyProtection="0">
      <alignment horizontal="left"/>
    </xf>
    <xf numFmtId="0" fontId="307" fillId="0" borderId="39" applyNumberFormat="0" applyFill="0" applyBorder="0" applyAlignment="0" applyProtection="0">
      <alignment horizontal="left"/>
    </xf>
    <xf numFmtId="0" fontId="308" fillId="0" borderId="0">
      <alignment horizontal="left"/>
    </xf>
    <xf numFmtId="0" fontId="275" fillId="0" borderId="0" applyNumberFormat="0" applyFill="0" applyBorder="0" applyAlignment="0" applyProtection="0">
      <alignment horizontal="left"/>
    </xf>
    <xf numFmtId="0" fontId="30" fillId="55" borderId="0" applyNumberFormat="0" applyFont="0" applyBorder="0" applyAlignment="0" applyProtection="0"/>
    <xf numFmtId="0" fontId="309" fillId="0" borderId="0" applyAlignment="0">
      <alignment wrapText="1"/>
    </xf>
    <xf numFmtId="0" fontId="178" fillId="44" borderId="0">
      <alignment vertical="top"/>
    </xf>
    <xf numFmtId="0" fontId="30" fillId="0" borderId="40" applyNumberFormat="0" applyFont="0" applyFill="0" applyAlignment="0" applyProtection="0"/>
    <xf numFmtId="0" fontId="30" fillId="0" borderId="40" applyNumberFormat="0" applyFont="0" applyFill="0" applyAlignment="0" applyProtection="0"/>
    <xf numFmtId="349" fontId="264" fillId="0" borderId="0">
      <alignment horizontal="center"/>
    </xf>
    <xf numFmtId="0" fontId="43" fillId="44" borderId="0">
      <alignment horizontal="center"/>
    </xf>
    <xf numFmtId="0" fontId="274" fillId="72" borderId="0" applyNumberFormat="0" applyBorder="0" applyAlignment="0" applyProtection="0">
      <alignment vertical="center"/>
    </xf>
    <xf numFmtId="0" fontId="274" fillId="57" borderId="0" applyNumberFormat="0" applyBorder="0" applyAlignment="0" applyProtection="0">
      <alignment vertical="center"/>
    </xf>
    <xf numFmtId="0" fontId="274" fillId="59" borderId="0" applyNumberFormat="0" applyBorder="0" applyAlignment="0" applyProtection="0">
      <alignment vertical="center"/>
    </xf>
    <xf numFmtId="0" fontId="274" fillId="33" borderId="0" applyNumberFormat="0" applyBorder="0" applyAlignment="0" applyProtection="0">
      <alignment vertical="center"/>
    </xf>
    <xf numFmtId="0" fontId="274" fillId="34" borderId="0" applyNumberFormat="0" applyBorder="0" applyAlignment="0" applyProtection="0">
      <alignment vertical="center"/>
    </xf>
    <xf numFmtId="0" fontId="274" fillId="58" borderId="0" applyNumberFormat="0" applyBorder="0" applyAlignment="0" applyProtection="0">
      <alignment vertical="center"/>
    </xf>
    <xf numFmtId="0" fontId="310" fillId="0" borderId="0" applyNumberFormat="0" applyFill="0" applyBorder="0" applyAlignment="0" applyProtection="0">
      <alignment vertical="center"/>
    </xf>
    <xf numFmtId="0" fontId="311" fillId="73" borderId="84" applyNumberFormat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270" fillId="71" borderId="78" applyNumberFormat="0" applyFont="0" applyAlignment="0" applyProtection="0">
      <alignment vertical="center"/>
    </xf>
    <xf numFmtId="0" fontId="313" fillId="0" borderId="85" applyNumberFormat="0" applyFill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0" fontId="314" fillId="0" borderId="0"/>
    <xf numFmtId="0" fontId="270" fillId="0" borderId="0">
      <alignment vertical="center"/>
    </xf>
    <xf numFmtId="0" fontId="315" fillId="0" borderId="0"/>
    <xf numFmtId="0" fontId="315" fillId="0" borderId="0"/>
    <xf numFmtId="0" fontId="315" fillId="0" borderId="0"/>
    <xf numFmtId="0" fontId="315" fillId="0" borderId="0"/>
    <xf numFmtId="0" fontId="315" fillId="0" borderId="0"/>
    <xf numFmtId="0" fontId="315" fillId="0" borderId="0"/>
    <xf numFmtId="0" fontId="315" fillId="0" borderId="0"/>
    <xf numFmtId="0" fontId="315" fillId="0" borderId="0"/>
    <xf numFmtId="0" fontId="270" fillId="0" borderId="0">
      <alignment vertical="center"/>
    </xf>
    <xf numFmtId="49" fontId="316" fillId="0" borderId="0"/>
    <xf numFmtId="49" fontId="316" fillId="0" borderId="0" applyBorder="0"/>
    <xf numFmtId="350" fontId="270" fillId="0" borderId="0"/>
    <xf numFmtId="49" fontId="316" fillId="0" borderId="0" applyNumberFormat="0" applyFill="0" applyBorder="0" applyAlignment="0" applyProtection="0"/>
    <xf numFmtId="0" fontId="41" fillId="0" borderId="0"/>
    <xf numFmtId="0" fontId="266" fillId="0" borderId="0">
      <alignment vertical="center"/>
    </xf>
    <xf numFmtId="0" fontId="41" fillId="0" borderId="0"/>
    <xf numFmtId="0" fontId="41" fillId="0" borderId="0"/>
    <xf numFmtId="0" fontId="188" fillId="0" borderId="0"/>
    <xf numFmtId="41" fontId="42" fillId="0" borderId="0"/>
    <xf numFmtId="0" fontId="188" fillId="0" borderId="0"/>
    <xf numFmtId="0" fontId="266" fillId="0" borderId="0">
      <alignment vertical="center"/>
    </xf>
    <xf numFmtId="0" fontId="266" fillId="0" borderId="0">
      <alignment vertical="center"/>
    </xf>
    <xf numFmtId="0" fontId="266" fillId="0" borderId="0">
      <alignment vertical="center"/>
    </xf>
    <xf numFmtId="0" fontId="188" fillId="0" borderId="0"/>
    <xf numFmtId="0" fontId="2" fillId="0" borderId="0">
      <alignment vertical="center"/>
    </xf>
    <xf numFmtId="41" fontId="4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189" fontId="2" fillId="0" borderId="0">
      <alignment vertical="center"/>
    </xf>
    <xf numFmtId="189" fontId="2" fillId="0" borderId="0">
      <alignment vertical="center"/>
    </xf>
    <xf numFmtId="189" fontId="2" fillId="0" borderId="0">
      <alignment vertical="center"/>
    </xf>
    <xf numFmtId="189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8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/>
    <xf numFmtId="0" fontId="41" fillId="0" borderId="0">
      <alignment vertical="center"/>
    </xf>
    <xf numFmtId="0" fontId="266" fillId="0" borderId="0">
      <alignment vertical="center"/>
    </xf>
    <xf numFmtId="0" fontId="30" fillId="0" borderId="0"/>
    <xf numFmtId="0" fontId="18" fillId="0" borderId="0">
      <protection locked="0"/>
    </xf>
    <xf numFmtId="0" fontId="188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2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2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/>
    <xf numFmtId="0" fontId="41" fillId="0" borderId="0"/>
    <xf numFmtId="0" fontId="30" fillId="0" borderId="0"/>
    <xf numFmtId="0" fontId="30" fillId="0" borderId="0"/>
    <xf numFmtId="0" fontId="188" fillId="0" borderId="0"/>
    <xf numFmtId="0" fontId="41" fillId="0" borderId="0">
      <alignment vertical="center"/>
    </xf>
    <xf numFmtId="281" fontId="41" fillId="0" borderId="0">
      <alignment vertical="center"/>
    </xf>
    <xf numFmtId="189" fontId="41" fillId="0" borderId="0">
      <alignment vertical="center"/>
    </xf>
    <xf numFmtId="0" fontId="41" fillId="0" borderId="0">
      <alignment vertical="center"/>
    </xf>
    <xf numFmtId="189" fontId="26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1" fillId="0" borderId="0"/>
    <xf numFmtId="0" fontId="54" fillId="0" borderId="0">
      <alignment vertical="center"/>
    </xf>
    <xf numFmtId="0" fontId="41" fillId="0" borderId="0">
      <alignment vertical="center"/>
    </xf>
    <xf numFmtId="0" fontId="158" fillId="0" borderId="0" applyNumberFormat="0" applyFill="0" applyBorder="0" applyAlignment="0" applyProtection="0">
      <alignment vertical="top"/>
      <protection locked="0"/>
    </xf>
    <xf numFmtId="0" fontId="317" fillId="56" borderId="86" applyNumberFormat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162" fillId="0" borderId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190" fontId="266" fillId="0" borderId="0" applyFont="0" applyFill="0" applyBorder="0" applyAlignment="0" applyProtection="0">
      <alignment vertical="center"/>
    </xf>
    <xf numFmtId="190" fontId="266" fillId="0" borderId="0" applyFont="0" applyFill="0" applyBorder="0" applyAlignment="0" applyProtection="0">
      <alignment vertical="center"/>
    </xf>
    <xf numFmtId="190" fontId="266" fillId="0" borderId="0" applyFont="0" applyFill="0" applyBorder="0" applyAlignment="0" applyProtection="0">
      <alignment vertical="center"/>
    </xf>
    <xf numFmtId="0" fontId="319" fillId="0" borderId="82" applyNumberFormat="0" applyFill="0" applyAlignment="0" applyProtection="0">
      <alignment vertical="center"/>
    </xf>
    <xf numFmtId="0" fontId="320" fillId="56" borderId="83" applyNumberFormat="0" applyAlignment="0" applyProtection="0">
      <alignment vertical="center"/>
    </xf>
    <xf numFmtId="0" fontId="321" fillId="0" borderId="79" applyNumberFormat="0" applyFill="0" applyAlignment="0" applyProtection="0">
      <alignment vertical="center"/>
    </xf>
    <xf numFmtId="0" fontId="322" fillId="0" borderId="80" applyNumberFormat="0" applyFill="0" applyAlignment="0" applyProtection="0">
      <alignment vertical="center"/>
    </xf>
    <xf numFmtId="0" fontId="323" fillId="0" borderId="81" applyNumberFormat="0" applyFill="0" applyAlignment="0" applyProtection="0">
      <alignment vertical="center"/>
    </xf>
    <xf numFmtId="0" fontId="323" fillId="0" borderId="81" applyNumberFormat="0" applyFill="0" applyAlignment="0" applyProtection="0">
      <alignment vertical="center"/>
    </xf>
    <xf numFmtId="0" fontId="323" fillId="0" borderId="0" applyNumberFormat="0" applyFill="0" applyBorder="0" applyAlignment="0" applyProtection="0">
      <alignment vertical="center"/>
    </xf>
    <xf numFmtId="0" fontId="324" fillId="0" borderId="0" applyNumberFormat="0" applyFill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184" fontId="30" fillId="0" borderId="0" applyFont="0" applyFill="0" applyBorder="0" applyAlignment="0" applyProtection="0"/>
    <xf numFmtId="191" fontId="30" fillId="0" borderId="0" applyFont="0" applyFill="0" applyBorder="0" applyAlignment="0" applyProtection="0"/>
    <xf numFmtId="40" fontId="4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4" fontId="41" fillId="0" borderId="0" applyFont="0" applyFill="0" applyBorder="0" applyAlignment="0" applyProtection="0">
      <alignment vertical="center"/>
    </xf>
    <xf numFmtId="184" fontId="41" fillId="0" borderId="0" applyFont="0" applyFill="0" applyBorder="0" applyAlignment="0" applyProtection="0"/>
    <xf numFmtId="184" fontId="266" fillId="0" borderId="0" applyFont="0" applyFill="0" applyBorder="0" applyAlignment="0" applyProtection="0">
      <alignment vertical="center"/>
    </xf>
    <xf numFmtId="351" fontId="41" fillId="0" borderId="0" applyFont="0" applyFill="0" applyBorder="0" applyAlignment="0" applyProtection="0"/>
    <xf numFmtId="184" fontId="41" fillId="0" borderId="0" applyFont="0" applyFill="0" applyBorder="0" applyAlignment="0" applyProtection="0">
      <alignment vertical="center"/>
    </xf>
    <xf numFmtId="40" fontId="42" fillId="0" borderId="0" applyFont="0" applyFill="0" applyBorder="0" applyAlignment="0" applyProtection="0">
      <alignment vertical="center"/>
    </xf>
    <xf numFmtId="184" fontId="41" fillId="0" borderId="0" applyFont="0" applyFill="0" applyBorder="0" applyAlignment="0" applyProtection="0"/>
    <xf numFmtId="184" fontId="41" fillId="0" borderId="0" applyFont="0" applyFill="0" applyBorder="0" applyAlignment="0" applyProtection="0"/>
    <xf numFmtId="43" fontId="41" fillId="0" borderId="0" applyFont="0" applyFill="0" applyBorder="0" applyAlignment="0" applyProtection="0">
      <alignment vertical="center"/>
    </xf>
    <xf numFmtId="184" fontId="41" fillId="0" borderId="0" applyFont="0" applyFill="0" applyBorder="0" applyAlignment="0" applyProtection="0"/>
    <xf numFmtId="184" fontId="23" fillId="0" borderId="0" applyFont="0" applyFill="0" applyBorder="0" applyAlignment="0" applyProtection="0">
      <alignment vertical="center"/>
    </xf>
    <xf numFmtId="184" fontId="30" fillId="0" borderId="0" applyFont="0" applyFill="0" applyBorder="0" applyAlignment="0" applyProtection="0">
      <alignment vertical="center"/>
    </xf>
    <xf numFmtId="184" fontId="23" fillId="0" borderId="0" applyFont="0" applyFill="0" applyBorder="0" applyAlignment="0" applyProtection="0">
      <alignment vertical="center"/>
    </xf>
    <xf numFmtId="191" fontId="41" fillId="0" borderId="0" applyFont="0" applyFill="0" applyBorder="0" applyAlignment="0" applyProtection="0"/>
    <xf numFmtId="191" fontId="2" fillId="0" borderId="0" applyFont="0" applyFill="0" applyBorder="0" applyAlignment="0" applyProtection="0">
      <alignment vertical="center"/>
    </xf>
    <xf numFmtId="0" fontId="326" fillId="27" borderId="83" applyNumberFormat="0" applyAlignment="0" applyProtection="0">
      <alignment vertical="center"/>
    </xf>
    <xf numFmtId="0" fontId="327" fillId="0" borderId="0" applyNumberFormat="0" applyFill="0" applyBorder="0" applyAlignment="0" applyProtection="0">
      <alignment vertical="center"/>
    </xf>
    <xf numFmtId="0" fontId="315" fillId="0" borderId="0"/>
    <xf numFmtId="0" fontId="328" fillId="0" borderId="0">
      <alignment vertical="center"/>
    </xf>
    <xf numFmtId="0" fontId="30" fillId="0" borderId="0"/>
    <xf numFmtId="0" fontId="329" fillId="39" borderId="0"/>
    <xf numFmtId="9" fontId="266" fillId="0" borderId="0" applyFont="0" applyFill="0" applyBorder="0" applyAlignment="0" applyProtection="0">
      <alignment vertical="center"/>
    </xf>
    <xf numFmtId="9" fontId="108" fillId="0" borderId="0" applyFont="0" applyFill="0" applyBorder="0" applyAlignment="0" applyProtection="0"/>
    <xf numFmtId="0" fontId="44" fillId="0" borderId="0">
      <protection locked="0"/>
    </xf>
    <xf numFmtId="9" fontId="2" fillId="0" borderId="0" applyFont="0" applyFill="0" applyBorder="0" applyAlignment="0" applyProtection="0">
      <alignment vertical="center"/>
    </xf>
    <xf numFmtId="9" fontId="266" fillId="0" borderId="0" applyFont="0" applyFill="0" applyBorder="0" applyAlignment="0" applyProtection="0">
      <alignment vertical="center"/>
    </xf>
    <xf numFmtId="43" fontId="266" fillId="0" borderId="0" applyFont="0" applyFill="0" applyBorder="0" applyAlignment="0" applyProtection="0"/>
    <xf numFmtId="0" fontId="266" fillId="0" borderId="0">
      <alignment vertical="center"/>
      <protection locked="0"/>
    </xf>
    <xf numFmtId="0" fontId="301" fillId="0" borderId="0">
      <alignment wrapText="1"/>
    </xf>
    <xf numFmtId="0" fontId="301" fillId="0" borderId="0">
      <alignment wrapText="1"/>
    </xf>
    <xf numFmtId="4" fontId="166" fillId="85" borderId="67" applyNumberFormat="0" applyProtection="0">
      <alignment horizontal="left" vertical="center" indent="1"/>
    </xf>
    <xf numFmtId="9" fontId="266" fillId="0" borderId="0" applyFont="0" applyFill="0" applyBorder="0" applyAlignment="0" applyProtection="0">
      <alignment vertical="center"/>
    </xf>
    <xf numFmtId="9" fontId="266" fillId="0" borderId="0" applyFont="0" applyFill="0" applyBorder="0" applyAlignment="0" applyProtection="0"/>
    <xf numFmtId="0" fontId="266" fillId="0" borderId="0">
      <alignment vertical="center"/>
    </xf>
    <xf numFmtId="0" fontId="266" fillId="0" borderId="0">
      <alignment vertical="center"/>
    </xf>
    <xf numFmtId="9" fontId="266" fillId="0" borderId="0" applyFont="0" applyFill="0" applyBorder="0" applyAlignment="0" applyProtection="0">
      <alignment vertical="center"/>
    </xf>
    <xf numFmtId="0" fontId="301" fillId="0" borderId="0">
      <alignment wrapText="1"/>
    </xf>
    <xf numFmtId="0" fontId="301" fillId="0" borderId="0">
      <alignment wrapText="1"/>
    </xf>
    <xf numFmtId="0" fontId="266" fillId="0" borderId="0">
      <alignment vertical="center"/>
    </xf>
    <xf numFmtId="9" fontId="266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301" fillId="0" borderId="0">
      <alignment wrapText="1"/>
    </xf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335" fontId="266" fillId="0" borderId="0">
      <alignment vertical="center"/>
      <protection locked="0"/>
    </xf>
    <xf numFmtId="335" fontId="2" fillId="0" borderId="0">
      <alignment vertical="center"/>
      <protection locked="0"/>
    </xf>
    <xf numFmtId="18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66" fillId="0" borderId="0">
      <alignment vertical="center"/>
      <protection locked="0"/>
    </xf>
    <xf numFmtId="43" fontId="108" fillId="0" borderId="0" applyFont="0" applyFill="0" applyBorder="0" applyAlignment="0" applyProtection="0"/>
    <xf numFmtId="0" fontId="270" fillId="71" borderId="78" applyNumberFormat="0" applyFont="0" applyAlignment="0" applyProtection="0">
      <alignment vertical="center"/>
    </xf>
    <xf numFmtId="0" fontId="307" fillId="0" borderId="39" applyNumberFormat="0" applyFill="0" applyBorder="0" applyAlignment="0" applyProtection="0">
      <alignment horizontal="left"/>
    </xf>
    <xf numFmtId="0" fontId="306" fillId="0" borderId="39" applyNumberFormat="0" applyFill="0" applyBorder="0" applyAlignment="0" applyProtection="0">
      <alignment horizontal="left"/>
    </xf>
    <xf numFmtId="348" fontId="30" fillId="0" borderId="39"/>
    <xf numFmtId="4" fontId="299" fillId="54" borderId="66" applyNumberFormat="0" applyProtection="0">
      <alignment horizontal="right" vertical="center"/>
    </xf>
    <xf numFmtId="4" fontId="190" fillId="43" borderId="90" applyNumberFormat="0" applyProtection="0">
      <alignment horizontal="left" vertical="center" indent="1"/>
    </xf>
    <xf numFmtId="4" fontId="166" fillId="55" borderId="66" applyNumberFormat="0" applyProtection="0">
      <alignment horizontal="left" vertical="center" indent="1"/>
    </xf>
    <xf numFmtId="4" fontId="298" fillId="54" borderId="66" applyNumberFormat="0" applyProtection="0">
      <alignment horizontal="right" vertical="center"/>
    </xf>
    <xf numFmtId="4" fontId="297" fillId="54" borderId="66" applyNumberFormat="0" applyProtection="0">
      <alignment horizontal="right" vertical="center"/>
    </xf>
    <xf numFmtId="4" fontId="166" fillId="55" borderId="90" applyNumberFormat="0" applyProtection="0">
      <alignment horizontal="left" vertical="center" indent="1"/>
    </xf>
    <xf numFmtId="4" fontId="298" fillId="54" borderId="66" applyNumberFormat="0" applyProtection="0">
      <alignment vertical="center"/>
    </xf>
    <xf numFmtId="4" fontId="297" fillId="54" borderId="66" applyNumberFormat="0" applyProtection="0">
      <alignment vertical="center"/>
    </xf>
    <xf numFmtId="4" fontId="297" fillId="55" borderId="66" applyNumberFormat="0" applyProtection="0">
      <alignment horizontal="right" vertical="center"/>
    </xf>
    <xf numFmtId="4" fontId="297" fillId="84" borderId="66" applyNumberFormat="0" applyProtection="0">
      <alignment horizontal="right" vertical="center"/>
    </xf>
    <xf numFmtId="4" fontId="297" fillId="83" borderId="66" applyNumberFormat="0" applyProtection="0">
      <alignment horizontal="right" vertical="center"/>
    </xf>
    <xf numFmtId="4" fontId="297" fillId="81" borderId="66" applyNumberFormat="0" applyProtection="0">
      <alignment horizontal="right" vertical="center"/>
    </xf>
    <xf numFmtId="4" fontId="297" fillId="80" borderId="66" applyNumberFormat="0" applyProtection="0">
      <alignment horizontal="right" vertical="center"/>
    </xf>
    <xf numFmtId="4" fontId="297" fillId="53" borderId="66" applyNumberFormat="0" applyProtection="0">
      <alignment horizontal="right" vertical="center"/>
    </xf>
    <xf numFmtId="4" fontId="297" fillId="79" borderId="66" applyNumberFormat="0" applyProtection="0">
      <alignment horizontal="right" vertical="center"/>
    </xf>
    <xf numFmtId="4" fontId="297" fillId="78" borderId="66" applyNumberFormat="0" applyProtection="0">
      <alignment horizontal="right" vertical="center"/>
    </xf>
    <xf numFmtId="4" fontId="297" fillId="48" borderId="66" applyNumberFormat="0" applyProtection="0">
      <alignment horizontal="left" vertical="center" indent="1"/>
    </xf>
    <xf numFmtId="4" fontId="296" fillId="48" borderId="66" applyNumberFormat="0" applyProtection="0">
      <alignment vertical="center"/>
    </xf>
    <xf numFmtId="4" fontId="166" fillId="48" borderId="66" applyNumberFormat="0" applyProtection="0">
      <alignment vertical="center"/>
    </xf>
    <xf numFmtId="0" fontId="270" fillId="71" borderId="78" applyNumberFormat="0" applyFont="0" applyAlignment="0" applyProtection="0">
      <alignment vertical="center"/>
    </xf>
    <xf numFmtId="4" fontId="299" fillId="54" borderId="66" applyNumberFormat="0" applyProtection="0">
      <alignment horizontal="right" vertical="center"/>
    </xf>
    <xf numFmtId="4" fontId="190" fillId="43" borderId="90" applyNumberFormat="0" applyProtection="0">
      <alignment horizontal="left" vertical="center" indent="1"/>
    </xf>
    <xf numFmtId="4" fontId="166" fillId="55" borderId="66" applyNumberFormat="0" applyProtection="0">
      <alignment horizontal="left" vertical="center" indent="1"/>
    </xf>
    <xf numFmtId="4" fontId="298" fillId="54" borderId="66" applyNumberFormat="0" applyProtection="0">
      <alignment horizontal="right" vertical="center"/>
    </xf>
    <xf numFmtId="4" fontId="297" fillId="54" borderId="66" applyNumberFormat="0" applyProtection="0">
      <alignment horizontal="right" vertical="center"/>
    </xf>
    <xf numFmtId="4" fontId="166" fillId="55" borderId="90" applyNumberFormat="0" applyProtection="0">
      <alignment horizontal="left" vertical="center" indent="1"/>
    </xf>
    <xf numFmtId="4" fontId="298" fillId="54" borderId="66" applyNumberFormat="0" applyProtection="0">
      <alignment vertical="center"/>
    </xf>
    <xf numFmtId="4" fontId="297" fillId="54" borderId="66" applyNumberFormat="0" applyProtection="0">
      <alignment vertical="center"/>
    </xf>
    <xf numFmtId="4" fontId="297" fillId="55" borderId="66" applyNumberFormat="0" applyProtection="0">
      <alignment horizontal="right" vertical="center"/>
    </xf>
    <xf numFmtId="4" fontId="297" fillId="84" borderId="66" applyNumberFormat="0" applyProtection="0">
      <alignment horizontal="right" vertical="center"/>
    </xf>
    <xf numFmtId="4" fontId="297" fillId="83" borderId="66" applyNumberFormat="0" applyProtection="0">
      <alignment horizontal="right" vertical="center"/>
    </xf>
    <xf numFmtId="4" fontId="297" fillId="82" borderId="66" applyNumberFormat="0" applyProtection="0">
      <alignment horizontal="right" vertical="center"/>
    </xf>
    <xf numFmtId="4" fontId="297" fillId="81" borderId="66" applyNumberFormat="0" applyProtection="0">
      <alignment horizontal="right" vertical="center"/>
    </xf>
    <xf numFmtId="4" fontId="297" fillId="80" borderId="66" applyNumberFormat="0" applyProtection="0">
      <alignment horizontal="right" vertical="center"/>
    </xf>
    <xf numFmtId="4" fontId="297" fillId="53" borderId="66" applyNumberFormat="0" applyProtection="0">
      <alignment horizontal="right" vertical="center"/>
    </xf>
    <xf numFmtId="4" fontId="297" fillId="79" borderId="66" applyNumberFormat="0" applyProtection="0">
      <alignment horizontal="right" vertical="center"/>
    </xf>
    <xf numFmtId="4" fontId="297" fillId="78" borderId="66" applyNumberFormat="0" applyProtection="0">
      <alignment horizontal="right" vertical="center"/>
    </xf>
    <xf numFmtId="4" fontId="297" fillId="77" borderId="66" applyNumberFormat="0" applyProtection="0">
      <alignment horizontal="right" vertical="center"/>
    </xf>
    <xf numFmtId="4" fontId="297" fillId="48" borderId="66" applyNumberFormat="0" applyProtection="0">
      <alignment horizontal="left" vertical="center" indent="1"/>
    </xf>
    <xf numFmtId="4" fontId="296" fillId="48" borderId="66" applyNumberFormat="0" applyProtection="0">
      <alignment vertical="center"/>
    </xf>
    <xf numFmtId="4" fontId="166" fillId="48" borderId="66" applyNumberFormat="0" applyProtection="0">
      <alignment vertical="center"/>
    </xf>
    <xf numFmtId="193" fontId="47" fillId="0" borderId="39"/>
    <xf numFmtId="4" fontId="191" fillId="62" borderId="66" applyNumberFormat="0" applyProtection="0">
      <alignment horizontal="right" vertical="center"/>
    </xf>
    <xf numFmtId="4" fontId="56" fillId="64" borderId="66" applyNumberFormat="0" applyProtection="0">
      <alignment horizontal="left" vertical="center" indent="1"/>
    </xf>
    <xf numFmtId="4" fontId="56" fillId="62" borderId="66" applyNumberFormat="0" applyProtection="0">
      <alignment horizontal="right" vertical="center"/>
    </xf>
    <xf numFmtId="0" fontId="30" fillId="54" borderId="66" applyNumberFormat="0" applyProtection="0">
      <alignment horizontal="left" vertical="center" indent="1"/>
    </xf>
    <xf numFmtId="0" fontId="30" fillId="55" borderId="66" applyNumberFormat="0" applyProtection="0">
      <alignment horizontal="left" vertical="center" indent="1"/>
    </xf>
    <xf numFmtId="0" fontId="188" fillId="27" borderId="66" applyNumberFormat="0" applyProtection="0">
      <alignment horizontal="left" vertical="center" indent="2"/>
    </xf>
    <xf numFmtId="0" fontId="187" fillId="28" borderId="66" applyNumberFormat="0" applyProtection="0">
      <alignment horizontal="left" vertical="center" indent="1"/>
    </xf>
    <xf numFmtId="4" fontId="56" fillId="60" borderId="66" applyNumberFormat="0" applyProtection="0">
      <alignment horizontal="right" vertical="center"/>
    </xf>
    <xf numFmtId="38" fontId="178" fillId="1" borderId="47"/>
    <xf numFmtId="49" fontId="144" fillId="0" borderId="60"/>
    <xf numFmtId="4" fontId="189" fillId="62" borderId="66" applyNumberFormat="0" applyProtection="0">
      <alignment horizontal="right" vertical="center"/>
    </xf>
    <xf numFmtId="0" fontId="260" fillId="56" borderId="83" applyNumberFormat="0" applyAlignment="0" applyProtection="0">
      <alignment vertical="center"/>
    </xf>
    <xf numFmtId="0" fontId="259" fillId="0" borderId="82" applyNumberFormat="0" applyFill="0" applyAlignment="0" applyProtection="0">
      <alignment vertical="center"/>
    </xf>
    <xf numFmtId="0" fontId="326" fillId="27" borderId="83" applyNumberFormat="0" applyAlignment="0" applyProtection="0">
      <alignment vertical="center"/>
    </xf>
    <xf numFmtId="0" fontId="30" fillId="71" borderId="78" applyNumberFormat="0" applyFont="0" applyAlignment="0" applyProtection="0">
      <alignment vertical="center"/>
    </xf>
    <xf numFmtId="0" fontId="256" fillId="27" borderId="83" applyNumberFormat="0" applyAlignment="0" applyProtection="0">
      <alignment vertical="center"/>
    </xf>
    <xf numFmtId="0" fontId="255" fillId="56" borderId="86" applyNumberFormat="0" applyAlignment="0" applyProtection="0">
      <alignment vertical="center"/>
    </xf>
    <xf numFmtId="0" fontId="246" fillId="27" borderId="83" applyNumberFormat="0" applyAlignment="0" applyProtection="0">
      <alignment vertical="center"/>
    </xf>
    <xf numFmtId="0" fontId="245" fillId="56" borderId="86" applyNumberFormat="0" applyAlignment="0" applyProtection="0">
      <alignment vertical="center"/>
    </xf>
    <xf numFmtId="0" fontId="320" fillId="56" borderId="83" applyNumberFormat="0" applyAlignment="0" applyProtection="0">
      <alignment vertical="center"/>
    </xf>
    <xf numFmtId="0" fontId="319" fillId="0" borderId="82" applyNumberFormat="0" applyFill="0" applyAlignment="0" applyProtection="0">
      <alignment vertical="center"/>
    </xf>
    <xf numFmtId="0" fontId="240" fillId="56" borderId="83" applyNumberFormat="0" applyAlignment="0" applyProtection="0">
      <alignment vertical="center"/>
    </xf>
    <xf numFmtId="0" fontId="238" fillId="0" borderId="82" applyNumberFormat="0" applyFill="0" applyAlignment="0" applyProtection="0">
      <alignment vertical="center"/>
    </xf>
    <xf numFmtId="4" fontId="297" fillId="77" borderId="66" applyNumberFormat="0" applyProtection="0">
      <alignment horizontal="right" vertical="center"/>
    </xf>
    <xf numFmtId="0" fontId="41" fillId="71" borderId="78" applyNumberFormat="0" applyFont="0" applyAlignment="0" applyProtection="0">
      <alignment vertical="center"/>
    </xf>
    <xf numFmtId="1" fontId="223" fillId="0" borderId="47">
      <alignment horizontal="center"/>
    </xf>
    <xf numFmtId="0" fontId="221" fillId="0" borderId="76"/>
    <xf numFmtId="0" fontId="86" fillId="0" borderId="53"/>
    <xf numFmtId="0" fontId="260" fillId="56" borderId="83" applyNumberFormat="0" applyAlignment="0" applyProtection="0">
      <alignment vertical="center"/>
    </xf>
    <xf numFmtId="0" fontId="259" fillId="0" borderId="82" applyNumberFormat="0" applyFill="0" applyAlignment="0" applyProtection="0">
      <alignment vertical="center"/>
    </xf>
    <xf numFmtId="0" fontId="73" fillId="0" borderId="47">
      <alignment horizontal="center"/>
    </xf>
    <xf numFmtId="0" fontId="30" fillId="71" borderId="78" applyNumberFormat="0" applyFont="0" applyAlignment="0" applyProtection="0">
      <alignment vertical="center"/>
    </xf>
    <xf numFmtId="0" fontId="256" fillId="27" borderId="83" applyNumberFormat="0" applyAlignment="0" applyProtection="0">
      <alignment vertical="center"/>
    </xf>
    <xf numFmtId="0" fontId="255" fillId="56" borderId="86" applyNumberFormat="0" applyAlignment="0" applyProtection="0">
      <alignment vertical="center"/>
    </xf>
    <xf numFmtId="0" fontId="204" fillId="35" borderId="47" applyBorder="0" applyProtection="0">
      <alignment horizontal="centerContinuous" vertical="center"/>
    </xf>
    <xf numFmtId="280" fontId="203" fillId="0" borderId="47" applyBorder="0" applyProtection="0">
      <alignment horizontal="right" vertical="center"/>
    </xf>
    <xf numFmtId="0" fontId="246" fillId="27" borderId="83" applyNumberFormat="0" applyAlignment="0" applyProtection="0">
      <alignment vertical="center"/>
    </xf>
    <xf numFmtId="0" fontId="245" fillId="56" borderId="86" applyNumberFormat="0" applyAlignment="0" applyProtection="0">
      <alignment vertical="center"/>
    </xf>
    <xf numFmtId="0" fontId="73" fillId="0" borderId="45">
      <alignment horizontal="centerContinuous"/>
    </xf>
    <xf numFmtId="0" fontId="73" fillId="0" borderId="47">
      <alignment horizontal="center"/>
    </xf>
    <xf numFmtId="0" fontId="73" fillId="0" borderId="47">
      <alignment horizontal="center"/>
    </xf>
    <xf numFmtId="0" fontId="73" fillId="0" borderId="45">
      <alignment horizontal="centerContinuous"/>
    </xf>
    <xf numFmtId="0" fontId="73" fillId="0" borderId="47">
      <alignment horizontal="center"/>
    </xf>
    <xf numFmtId="0" fontId="73" fillId="0" borderId="47">
      <alignment horizontal="center"/>
    </xf>
    <xf numFmtId="0" fontId="73" fillId="0" borderId="47">
      <alignment horizontal="centerContinuous"/>
    </xf>
    <xf numFmtId="0" fontId="30" fillId="0" borderId="47">
      <alignment horizontal="centerContinuous"/>
    </xf>
    <xf numFmtId="0" fontId="73" fillId="0" borderId="47">
      <alignment horizontal="centerContinuous"/>
    </xf>
    <xf numFmtId="0" fontId="73" fillId="0" borderId="47">
      <alignment horizontal="centerContinuous"/>
    </xf>
    <xf numFmtId="0" fontId="73" fillId="0" borderId="47">
      <alignment horizontal="centerContinuous"/>
    </xf>
    <xf numFmtId="0" fontId="73" fillId="0" borderId="47">
      <alignment horizontal="centerContinuous"/>
    </xf>
    <xf numFmtId="0" fontId="73" fillId="0" borderId="47">
      <alignment horizontal="centerContinuous"/>
    </xf>
    <xf numFmtId="0" fontId="73" fillId="0" borderId="47">
      <alignment horizontal="centerContinuous"/>
    </xf>
    <xf numFmtId="0" fontId="73" fillId="0" borderId="47">
      <alignment horizontal="center"/>
    </xf>
    <xf numFmtId="0" fontId="73" fillId="0" borderId="45">
      <alignment horizontal="centerContinuous"/>
    </xf>
    <xf numFmtId="0" fontId="73" fillId="0" borderId="47">
      <alignment horizontal="center"/>
    </xf>
    <xf numFmtId="0" fontId="73" fillId="0" borderId="47">
      <alignment horizontal="centerContinuous"/>
    </xf>
    <xf numFmtId="0" fontId="73" fillId="0" borderId="47">
      <alignment horizontal="centerContinuous"/>
    </xf>
    <xf numFmtId="0" fontId="73" fillId="0" borderId="47">
      <alignment horizontal="center"/>
    </xf>
    <xf numFmtId="0" fontId="199" fillId="0" borderId="45"/>
    <xf numFmtId="0" fontId="240" fillId="56" borderId="83" applyNumberFormat="0" applyAlignment="0" applyProtection="0">
      <alignment vertical="center"/>
    </xf>
    <xf numFmtId="0" fontId="238" fillId="0" borderId="82" applyNumberFormat="0" applyFill="0" applyAlignment="0" applyProtection="0">
      <alignment vertical="center"/>
    </xf>
    <xf numFmtId="4" fontId="191" fillId="62" borderId="66" applyNumberFormat="0" applyProtection="0">
      <alignment horizontal="right" vertical="center"/>
    </xf>
    <xf numFmtId="0" fontId="56" fillId="43" borderId="66" applyNumberFormat="0" applyProtection="0">
      <alignment horizontal="left" vertical="top" indent="1"/>
    </xf>
    <xf numFmtId="4" fontId="56" fillId="64" borderId="66" applyNumberFormat="0" applyProtection="0">
      <alignment horizontal="left" vertical="center" indent="1"/>
    </xf>
    <xf numFmtId="4" fontId="189" fillId="62" borderId="66" applyNumberFormat="0" applyProtection="0">
      <alignment horizontal="right" vertical="center"/>
    </xf>
    <xf numFmtId="4" fontId="56" fillId="62" borderId="66" applyNumberFormat="0" applyProtection="0">
      <alignment horizontal="right" vertical="center"/>
    </xf>
    <xf numFmtId="0" fontId="56" fillId="45" borderId="66" applyNumberFormat="0" applyProtection="0">
      <alignment horizontal="left" vertical="top" indent="1"/>
    </xf>
    <xf numFmtId="4" fontId="56" fillId="45" borderId="66" applyNumberFormat="0" applyProtection="0">
      <alignment horizontal="left" vertical="center" indent="1"/>
    </xf>
    <xf numFmtId="4" fontId="189" fillId="45" borderId="66" applyNumberFormat="0" applyProtection="0">
      <alignment vertical="center"/>
    </xf>
    <xf numFmtId="4" fontId="56" fillId="45" borderId="66" applyNumberFormat="0" applyProtection="0">
      <alignment vertical="center"/>
    </xf>
    <xf numFmtId="0" fontId="30" fillId="54" borderId="66" applyNumberFormat="0" applyProtection="0">
      <alignment horizontal="left" vertical="top" indent="1"/>
    </xf>
    <xf numFmtId="0" fontId="30" fillId="54" borderId="66" applyNumberFormat="0" applyProtection="0">
      <alignment horizontal="left" vertical="center" indent="1"/>
    </xf>
    <xf numFmtId="0" fontId="30" fillId="55" borderId="66" applyNumberFormat="0" applyProtection="0">
      <alignment horizontal="left" vertical="top" indent="1"/>
    </xf>
    <xf numFmtId="0" fontId="30" fillId="55" borderId="66" applyNumberFormat="0" applyProtection="0">
      <alignment horizontal="left" vertical="center" indent="1"/>
    </xf>
    <xf numFmtId="0" fontId="30" fillId="43" borderId="66" applyNumberFormat="0" applyProtection="0">
      <alignment horizontal="left" vertical="top" indent="1"/>
    </xf>
    <xf numFmtId="0" fontId="188" fillId="27" borderId="66" applyNumberFormat="0" applyProtection="0">
      <alignment horizontal="left" vertical="center" indent="2"/>
    </xf>
    <xf numFmtId="0" fontId="30" fillId="63" borderId="66" applyNumberFormat="0" applyProtection="0">
      <alignment horizontal="left" vertical="top" indent="1"/>
    </xf>
    <xf numFmtId="0" fontId="187" fillId="28" borderId="66" applyNumberFormat="0" applyProtection="0">
      <alignment horizontal="left" vertical="center" indent="1"/>
    </xf>
    <xf numFmtId="4" fontId="56" fillId="64" borderId="66" applyNumberFormat="0" applyProtection="0">
      <alignment horizontal="right" vertical="center"/>
    </xf>
    <xf numFmtId="4" fontId="56" fillId="30" borderId="66" applyNumberFormat="0" applyProtection="0">
      <alignment horizontal="right" vertical="center"/>
    </xf>
    <xf numFmtId="4" fontId="56" fillId="60" borderId="66" applyNumberFormat="0" applyProtection="0">
      <alignment horizontal="right" vertical="center"/>
    </xf>
    <xf numFmtId="4" fontId="56" fillId="59" borderId="66" applyNumberFormat="0" applyProtection="0">
      <alignment horizontal="right" vertical="center"/>
    </xf>
    <xf numFmtId="4" fontId="56" fillId="58" borderId="66" applyNumberFormat="0" applyProtection="0">
      <alignment horizontal="right" vertical="center"/>
    </xf>
    <xf numFmtId="4" fontId="56" fillId="21" borderId="66" applyNumberFormat="0" applyProtection="0">
      <alignment horizontal="right" vertical="center"/>
    </xf>
    <xf numFmtId="4" fontId="56" fillId="31" borderId="66" applyNumberFormat="0" applyProtection="0">
      <alignment horizontal="right" vertical="center"/>
    </xf>
    <xf numFmtId="4" fontId="56" fillId="57" borderId="66" applyNumberFormat="0" applyProtection="0">
      <alignment horizontal="right" vertical="center"/>
    </xf>
    <xf numFmtId="4" fontId="56" fillId="29" borderId="66" applyNumberFormat="0" applyProtection="0">
      <alignment horizontal="right" vertical="center"/>
    </xf>
    <xf numFmtId="4" fontId="56" fillId="23" borderId="66" applyNumberFormat="0" applyProtection="0">
      <alignment horizontal="right" vertical="center"/>
    </xf>
    <xf numFmtId="0" fontId="160" fillId="48" borderId="66" applyNumberFormat="0" applyProtection="0">
      <alignment horizontal="left" vertical="top" indent="1"/>
    </xf>
    <xf numFmtId="4" fontId="160" fillId="48" borderId="66" applyNumberFormat="0" applyProtection="0">
      <alignment horizontal="left" vertical="center" indent="1"/>
    </xf>
    <xf numFmtId="4" fontId="186" fillId="48" borderId="66" applyNumberFormat="0" applyProtection="0">
      <alignment vertical="center"/>
    </xf>
    <xf numFmtId="4" fontId="160" fillId="20" borderId="66" applyNumberFormat="0" applyProtection="0">
      <alignment vertical="center"/>
    </xf>
    <xf numFmtId="0" fontId="185" fillId="0" borderId="45">
      <alignment horizontal="centerContinuous"/>
    </xf>
    <xf numFmtId="0" fontId="185" fillId="0" borderId="45">
      <alignment horizontal="centerContinuous"/>
    </xf>
    <xf numFmtId="0" fontId="185" fillId="0" borderId="45">
      <protection locked="0"/>
    </xf>
    <xf numFmtId="0" fontId="185" fillId="0" borderId="45">
      <alignment horizontal="centerContinuous"/>
    </xf>
    <xf numFmtId="0" fontId="185" fillId="0" borderId="45">
      <alignment horizontal="centerContinuous"/>
    </xf>
    <xf numFmtId="0" fontId="185" fillId="0" borderId="45">
      <protection locked="0"/>
    </xf>
    <xf numFmtId="0" fontId="185" fillId="0" borderId="45">
      <alignment horizontal="centerContinuous"/>
    </xf>
    <xf numFmtId="0" fontId="185" fillId="0" borderId="45">
      <alignment horizontal="centerContinuous"/>
    </xf>
    <xf numFmtId="0" fontId="185" fillId="0" borderId="45">
      <alignment horizontal="centerContinuous"/>
    </xf>
    <xf numFmtId="0" fontId="185" fillId="0" borderId="45">
      <alignment horizontal="centerContinuous"/>
    </xf>
    <xf numFmtId="0" fontId="185" fillId="0" borderId="45">
      <alignment horizontal="centerContinuous"/>
    </xf>
    <xf numFmtId="0" fontId="185" fillId="0" borderId="45">
      <protection locked="0"/>
    </xf>
    <xf numFmtId="0" fontId="185" fillId="0" borderId="45">
      <alignment horizontal="centerContinuous"/>
    </xf>
    <xf numFmtId="0" fontId="185" fillId="0" borderId="45">
      <alignment horizontal="centerContinuous"/>
    </xf>
    <xf numFmtId="0" fontId="185" fillId="0" borderId="45">
      <protection locked="0"/>
    </xf>
    <xf numFmtId="0" fontId="185" fillId="0" borderId="45">
      <alignment horizontal="centerContinuous"/>
    </xf>
    <xf numFmtId="0" fontId="185" fillId="0" borderId="45">
      <alignment horizontal="centerContinuous"/>
    </xf>
    <xf numFmtId="0" fontId="185" fillId="0" borderId="45">
      <alignment horizontal="centerContinuous"/>
    </xf>
    <xf numFmtId="0" fontId="185" fillId="0" borderId="45">
      <alignment horizontal="centerContinuous"/>
    </xf>
    <xf numFmtId="0" fontId="185" fillId="0" borderId="45">
      <alignment horizontal="centerContinuous"/>
    </xf>
    <xf numFmtId="0" fontId="185" fillId="0" borderId="45">
      <protection locked="0"/>
    </xf>
    <xf numFmtId="0" fontId="185" fillId="0" borderId="45">
      <protection locked="0"/>
    </xf>
    <xf numFmtId="0" fontId="185" fillId="0" borderId="45">
      <alignment horizontal="centerContinuous"/>
    </xf>
    <xf numFmtId="0" fontId="185" fillId="0" borderId="45">
      <alignment horizontal="centerContinuous"/>
    </xf>
    <xf numFmtId="0" fontId="185" fillId="0" borderId="45">
      <alignment horizontal="centerContinuous"/>
    </xf>
    <xf numFmtId="0" fontId="185" fillId="0" borderId="45">
      <alignment horizontal="centerContinuous"/>
    </xf>
    <xf numFmtId="0" fontId="185" fillId="0" borderId="45">
      <protection locked="0"/>
    </xf>
    <xf numFmtId="0" fontId="185" fillId="0" borderId="45">
      <alignment horizontal="centerContinuous"/>
    </xf>
    <xf numFmtId="0" fontId="185" fillId="0" borderId="45">
      <alignment horizontal="centerContinuous"/>
    </xf>
    <xf numFmtId="0" fontId="185" fillId="0" borderId="45">
      <protection locked="0"/>
    </xf>
    <xf numFmtId="0" fontId="185" fillId="0" borderId="45">
      <alignment horizontal="centerContinuous"/>
    </xf>
    <xf numFmtId="0" fontId="185" fillId="0" borderId="45">
      <protection locked="0"/>
    </xf>
    <xf numFmtId="0" fontId="185" fillId="0" borderId="45">
      <alignment horizontal="centerContinuous"/>
    </xf>
    <xf numFmtId="0" fontId="185" fillId="0" borderId="45">
      <protection locked="0"/>
    </xf>
    <xf numFmtId="0" fontId="185" fillId="0" borderId="45">
      <alignment horizontal="centerContinuous"/>
    </xf>
    <xf numFmtId="0" fontId="185" fillId="0" borderId="45">
      <alignment horizontal="centerContinuous"/>
    </xf>
    <xf numFmtId="0" fontId="185" fillId="0" borderId="45">
      <alignment horizontal="centerContinuous"/>
    </xf>
    <xf numFmtId="0" fontId="185" fillId="0" borderId="45">
      <alignment horizontal="centerContinuous"/>
    </xf>
    <xf numFmtId="0" fontId="185" fillId="0" borderId="45">
      <alignment horizontal="centerContinuous"/>
    </xf>
    <xf numFmtId="0" fontId="185" fillId="0" borderId="45">
      <protection locked="0"/>
    </xf>
    <xf numFmtId="0" fontId="185" fillId="0" borderId="45">
      <alignment horizontal="centerContinuous"/>
    </xf>
    <xf numFmtId="0" fontId="185" fillId="0" borderId="45">
      <alignment horizontal="centerContinuous"/>
    </xf>
    <xf numFmtId="0" fontId="185" fillId="0" borderId="45">
      <protection locked="0"/>
    </xf>
    <xf numFmtId="0" fontId="41" fillId="71" borderId="78" applyNumberFormat="0" applyFont="0" applyAlignment="0" applyProtection="0">
      <alignment vertical="center"/>
    </xf>
    <xf numFmtId="0" fontId="118" fillId="36" borderId="39" applyNumberFormat="0" applyFont="0" applyAlignment="0" applyProtection="0">
      <protection locked="0"/>
    </xf>
    <xf numFmtId="0" fontId="182" fillId="0" borderId="47"/>
    <xf numFmtId="0" fontId="86" fillId="0" borderId="53"/>
    <xf numFmtId="0" fontId="80" fillId="36" borderId="39" applyNumberFormat="0" applyFont="0" applyFill="0" applyAlignment="0" applyProtection="0">
      <protection locked="0"/>
    </xf>
    <xf numFmtId="0" fontId="205" fillId="0" borderId="74"/>
    <xf numFmtId="0" fontId="44" fillId="0" borderId="63" applyNumberFormat="0" applyAlignment="0" applyProtection="0"/>
    <xf numFmtId="0" fontId="73" fillId="0" borderId="47">
      <alignment horizontal="center"/>
    </xf>
    <xf numFmtId="43" fontId="47" fillId="0" borderId="39"/>
    <xf numFmtId="241" fontId="47" fillId="0" borderId="39"/>
    <xf numFmtId="0" fontId="56" fillId="43" borderId="66" applyNumberFormat="0" applyProtection="0">
      <alignment horizontal="left" vertical="top" indent="1"/>
    </xf>
    <xf numFmtId="0" fontId="56" fillId="45" borderId="66" applyNumberFormat="0" applyProtection="0">
      <alignment horizontal="left" vertical="top" indent="1"/>
    </xf>
    <xf numFmtId="4" fontId="56" fillId="45" borderId="66" applyNumberFormat="0" applyProtection="0">
      <alignment horizontal="left" vertical="center" indent="1"/>
    </xf>
    <xf numFmtId="0" fontId="30" fillId="55" borderId="66" applyNumberFormat="0" applyProtection="0">
      <alignment horizontal="left" vertical="top" indent="1"/>
    </xf>
    <xf numFmtId="0" fontId="30" fillId="43" borderId="66" applyNumberFormat="0" applyProtection="0">
      <alignment horizontal="left" vertical="top" indent="1"/>
    </xf>
    <xf numFmtId="0" fontId="30" fillId="63" borderId="66" applyNumberFormat="0" applyProtection="0">
      <alignment horizontal="left" vertical="top" indent="1"/>
    </xf>
    <xf numFmtId="4" fontId="56" fillId="64" borderId="66" applyNumberFormat="0" applyProtection="0">
      <alignment horizontal="right" vertical="center"/>
    </xf>
    <xf numFmtId="4" fontId="56" fillId="30" borderId="66" applyNumberFormat="0" applyProtection="0">
      <alignment horizontal="right" vertical="center"/>
    </xf>
    <xf numFmtId="4" fontId="56" fillId="59" borderId="66" applyNumberFormat="0" applyProtection="0">
      <alignment horizontal="right" vertical="center"/>
    </xf>
    <xf numFmtId="4" fontId="56" fillId="21" borderId="66" applyNumberFormat="0" applyProtection="0">
      <alignment horizontal="right" vertical="center"/>
    </xf>
    <xf numFmtId="4" fontId="56" fillId="31" borderId="66" applyNumberFormat="0" applyProtection="0">
      <alignment horizontal="right" vertical="center"/>
    </xf>
    <xf numFmtId="4" fontId="56" fillId="57" borderId="66" applyNumberFormat="0" applyProtection="0">
      <alignment horizontal="right" vertical="center"/>
    </xf>
    <xf numFmtId="4" fontId="56" fillId="29" borderId="66" applyNumberFormat="0" applyProtection="0">
      <alignment horizontal="right" vertical="center"/>
    </xf>
    <xf numFmtId="4" fontId="56" fillId="23" borderId="66" applyNumberFormat="0" applyProtection="0">
      <alignment horizontal="right" vertical="center"/>
    </xf>
    <xf numFmtId="0" fontId="160" fillId="48" borderId="66" applyNumberFormat="0" applyProtection="0">
      <alignment horizontal="left" vertical="top" indent="1"/>
    </xf>
    <xf numFmtId="4" fontId="160" fillId="48" borderId="66" applyNumberFormat="0" applyProtection="0">
      <alignment horizontal="left" vertical="center" indent="1"/>
    </xf>
    <xf numFmtId="4" fontId="186" fillId="48" borderId="66" applyNumberFormat="0" applyProtection="0">
      <alignment vertical="center"/>
    </xf>
    <xf numFmtId="4" fontId="160" fillId="20" borderId="66" applyNumberFormat="0" applyProtection="0">
      <alignment vertical="center"/>
    </xf>
    <xf numFmtId="193" fontId="45" fillId="0" borderId="39">
      <alignment horizontal="right"/>
    </xf>
    <xf numFmtId="0" fontId="43" fillId="51" borderId="61">
      <alignment horizontal="left" vertical="center" wrapText="1"/>
    </xf>
    <xf numFmtId="235" fontId="67" fillId="45" borderId="47" applyNumberFormat="0" applyFont="0" applyAlignment="0" applyProtection="0">
      <alignment horizontal="center"/>
      <protection locked="0"/>
    </xf>
    <xf numFmtId="49" fontId="144" fillId="0" borderId="60"/>
    <xf numFmtId="282" fontId="127" fillId="0" borderId="55">
      <alignment horizontal="left"/>
    </xf>
    <xf numFmtId="37" fontId="86" fillId="0" borderId="53"/>
    <xf numFmtId="0" fontId="43" fillId="51" borderId="61">
      <alignment horizontal="left" vertical="center" wrapText="1"/>
    </xf>
    <xf numFmtId="242" fontId="44" fillId="0" borderId="50">
      <alignment horizontal="centerContinuous"/>
    </xf>
    <xf numFmtId="0" fontId="99" fillId="0" borderId="47" applyNumberFormat="0" applyFill="0" applyProtection="0">
      <alignment horizontal="center"/>
    </xf>
    <xf numFmtId="0" fontId="98" fillId="0" borderId="47" applyNumberFormat="0" applyFill="0" applyBorder="0" applyAlignment="0" applyProtection="0">
      <alignment horizontal="center"/>
    </xf>
    <xf numFmtId="0" fontId="73" fillId="0" borderId="47" applyNumberFormat="0" applyFont="0" applyFill="0" applyProtection="0">
      <alignment horizontal="centerContinuous" vertical="center"/>
    </xf>
    <xf numFmtId="282" fontId="127" fillId="0" borderId="55">
      <alignment horizontal="left"/>
    </xf>
    <xf numFmtId="193" fontId="76" fillId="0" borderId="39">
      <alignment horizontal="right"/>
    </xf>
    <xf numFmtId="37" fontId="86" fillId="0" borderId="53"/>
    <xf numFmtId="0" fontId="47" fillId="0" borderId="47">
      <alignment horizontal="centerContinuous"/>
    </xf>
    <xf numFmtId="178" fontId="86" fillId="0" borderId="45"/>
    <xf numFmtId="0" fontId="78" fillId="0" borderId="47" applyNumberFormat="0" applyFont="0" applyFill="0" applyAlignment="0" applyProtection="0"/>
    <xf numFmtId="242" fontId="44" fillId="0" borderId="48" applyNumberFormat="0" applyFont="0" applyAlignment="0" applyProtection="0"/>
    <xf numFmtId="0" fontId="73" fillId="0" borderId="47" applyNumberFormat="0" applyFill="0" applyAlignment="0" applyProtection="0"/>
    <xf numFmtId="0" fontId="73" fillId="0" borderId="47" applyFont="0">
      <alignment horizontal="centerContinuous"/>
    </xf>
    <xf numFmtId="0" fontId="67" fillId="0" borderId="46" applyNumberFormat="0" applyFill="0" applyAlignment="0" applyProtection="0"/>
    <xf numFmtId="0" fontId="66" fillId="0" borderId="45" applyFont="0" applyFill="0" applyBorder="0" applyAlignment="0" applyProtection="0"/>
    <xf numFmtId="43" fontId="30" fillId="0" borderId="39"/>
    <xf numFmtId="241" fontId="30" fillId="0" borderId="39"/>
    <xf numFmtId="0" fontId="45" fillId="0" borderId="39"/>
    <xf numFmtId="0" fontId="67" fillId="0" borderId="46" applyNumberFormat="0" applyFill="0" applyAlignment="0" applyProtection="0"/>
    <xf numFmtId="0" fontId="30" fillId="0" borderId="45" applyNumberFormat="0" applyFont="0" applyFill="0" applyAlignment="0" applyProtection="0"/>
    <xf numFmtId="0" fontId="45" fillId="0" borderId="39"/>
    <xf numFmtId="241" fontId="30" fillId="0" borderId="39"/>
    <xf numFmtId="43" fontId="30" fillId="0" borderId="39"/>
    <xf numFmtId="255" fontId="44" fillId="0" borderId="51" applyBorder="0">
      <alignment horizontal="right"/>
    </xf>
    <xf numFmtId="193" fontId="76" fillId="0" borderId="39">
      <alignment horizontal="right"/>
    </xf>
    <xf numFmtId="0" fontId="136" fillId="47" borderId="57"/>
    <xf numFmtId="291" fontId="148" fillId="0" borderId="8" applyFill="0" applyBorder="0" applyProtection="0"/>
    <xf numFmtId="2" fontId="117" fillId="0" borderId="41" applyFont="0" applyFill="0" applyBorder="0" applyAlignment="0"/>
    <xf numFmtId="0" fontId="170" fillId="0" borderId="3"/>
    <xf numFmtId="0" fontId="67" fillId="54" borderId="3" applyNumberFormat="0" applyFont="0" applyBorder="0" applyAlignment="0" applyProtection="0">
      <alignment horizontal="center"/>
    </xf>
    <xf numFmtId="0" fontId="67" fillId="55" borderId="3" applyNumberFormat="0" applyFont="0" applyBorder="0" applyAlignment="0" applyProtection="0">
      <alignment horizontal="center"/>
    </xf>
    <xf numFmtId="1" fontId="30" fillId="0" borderId="3" applyNumberFormat="0" applyFill="0" applyAlignment="0" applyProtection="0">
      <alignment horizontal="center" vertical="center"/>
    </xf>
    <xf numFmtId="193" fontId="45" fillId="0" borderId="39">
      <alignment horizontal="right"/>
    </xf>
    <xf numFmtId="241" fontId="47" fillId="0" borderId="39"/>
    <xf numFmtId="193" fontId="47" fillId="0" borderId="39"/>
    <xf numFmtId="43" fontId="47" fillId="0" borderId="39"/>
    <xf numFmtId="0" fontId="73" fillId="0" borderId="47">
      <alignment horizontal="center"/>
    </xf>
    <xf numFmtId="4" fontId="160" fillId="61" borderId="67" applyNumberFormat="0" applyProtection="0">
      <alignment horizontal="left" vertical="center" indent="1"/>
    </xf>
    <xf numFmtId="0" fontId="118" fillId="36" borderId="39" applyNumberFormat="0" applyFont="0" applyAlignment="0" applyProtection="0">
      <protection locked="0"/>
    </xf>
    <xf numFmtId="317" fontId="30" fillId="36" borderId="71" applyFont="0" applyAlignment="0" applyProtection="0"/>
    <xf numFmtId="0" fontId="317" fillId="56" borderId="86" applyNumberFormat="0" applyAlignment="0" applyProtection="0">
      <alignment vertical="center"/>
    </xf>
    <xf numFmtId="348" fontId="30" fillId="0" borderId="39"/>
    <xf numFmtId="0" fontId="306" fillId="0" borderId="39" applyNumberFormat="0" applyFill="0" applyBorder="0" applyAlignment="0" applyProtection="0">
      <alignment horizontal="left"/>
    </xf>
    <xf numFmtId="0" fontId="307" fillId="0" borderId="39" applyNumberFormat="0" applyFill="0" applyBorder="0" applyAlignment="0" applyProtection="0">
      <alignment horizontal="left"/>
    </xf>
    <xf numFmtId="4" fontId="56" fillId="58" borderId="66" applyNumberFormat="0" applyProtection="0">
      <alignment horizontal="right" vertical="center"/>
    </xf>
    <xf numFmtId="2" fontId="117" fillId="0" borderId="41" applyFont="0" applyFill="0" applyBorder="0" applyAlignment="0"/>
    <xf numFmtId="0" fontId="18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84" fontId="2" fillId="0" borderId="0" applyFont="0" applyFill="0" applyBorder="0" applyAlignment="0" applyProtection="0">
      <alignment vertical="center"/>
    </xf>
    <xf numFmtId="0" fontId="18" fillId="0" borderId="0"/>
    <xf numFmtId="184" fontId="18" fillId="0" borderId="0" applyFont="0" applyFill="0" applyBorder="0" applyAlignment="0" applyProtection="0">
      <alignment vertical="center"/>
    </xf>
    <xf numFmtId="4" fontId="297" fillId="82" borderId="66" applyNumberFormat="0" applyProtection="0">
      <alignment horizontal="right" vertical="center"/>
    </xf>
    <xf numFmtId="18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0" fillId="36" borderId="39" applyNumberFormat="0" applyFont="0" applyFill="0" applyAlignment="0" applyProtection="0">
      <protection locked="0"/>
    </xf>
    <xf numFmtId="4" fontId="166" fillId="85" borderId="67" applyNumberFormat="0" applyProtection="0">
      <alignment horizontal="left" vertical="center" indent="1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189" fontId="2" fillId="0" borderId="0">
      <alignment vertical="center"/>
    </xf>
    <xf numFmtId="189" fontId="2" fillId="0" borderId="0">
      <alignment vertical="center"/>
    </xf>
    <xf numFmtId="189" fontId="2" fillId="0" borderId="0">
      <alignment vertical="center"/>
    </xf>
    <xf numFmtId="189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/>
    <xf numFmtId="0" fontId="18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9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17" fillId="56" borderId="86" applyNumberFormat="0" applyAlignment="0" applyProtection="0">
      <alignment vertical="center"/>
    </xf>
    <xf numFmtId="0" fontId="319" fillId="0" borderId="82" applyNumberFormat="0" applyFill="0" applyAlignment="0" applyProtection="0">
      <alignment vertical="center"/>
    </xf>
    <xf numFmtId="0" fontId="320" fillId="56" borderId="83" applyNumberFormat="0" applyAlignment="0" applyProtection="0">
      <alignment vertical="center"/>
    </xf>
    <xf numFmtId="0" fontId="326" fillId="27" borderId="83" applyNumberFormat="0" applyAlignment="0" applyProtection="0">
      <alignment vertical="center"/>
    </xf>
    <xf numFmtId="0" fontId="30" fillId="54" borderId="66" applyNumberFormat="0" applyProtection="0">
      <alignment horizontal="left" vertical="top" indent="1"/>
    </xf>
    <xf numFmtId="4" fontId="56" fillId="45" borderId="66" applyNumberFormat="0" applyProtection="0">
      <alignment vertical="center"/>
    </xf>
    <xf numFmtId="4" fontId="189" fillId="45" borderId="66" applyNumberFormat="0" applyProtection="0">
      <alignment vertical="center"/>
    </xf>
    <xf numFmtId="0" fontId="39" fillId="0" borderId="0">
      <alignment vertical="center"/>
    </xf>
    <xf numFmtId="184" fontId="39" fillId="0" borderId="0" applyFont="0" applyFill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184" fontId="39" fillId="0" borderId="0" applyFont="0" applyFill="0" applyBorder="0" applyAlignment="0" applyProtection="0">
      <alignment vertical="center"/>
    </xf>
    <xf numFmtId="0" fontId="41" fillId="0" borderId="0"/>
    <xf numFmtId="238" fontId="68" fillId="0" borderId="1" applyNumberFormat="0" applyFont="0" applyFill="0" applyBorder="0" applyAlignment="0"/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3" borderId="0" applyNumberFormat="0" applyBorder="0" applyAlignment="0" applyProtection="0">
      <alignment vertical="center"/>
    </xf>
    <xf numFmtId="0" fontId="63" fillId="34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41" fillId="0" borderId="0"/>
    <xf numFmtId="9" fontId="38" fillId="0" borderId="0" applyFont="0" applyFill="0" applyBorder="0" applyAlignment="0" applyProtection="0"/>
    <xf numFmtId="184" fontId="18" fillId="0" borderId="0" applyFont="0" applyFill="0" applyBorder="0" applyAlignment="0" applyProtection="0">
      <alignment vertical="center"/>
    </xf>
    <xf numFmtId="184" fontId="23" fillId="0" borderId="0" applyFont="0" applyFill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330" fillId="18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63" fillId="72" borderId="0" applyNumberFormat="0" applyBorder="0" applyAlignment="0" applyProtection="0">
      <alignment vertical="center"/>
    </xf>
    <xf numFmtId="0" fontId="63" fillId="57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33" borderId="0" applyNumberFormat="0" applyBorder="0" applyAlignment="0" applyProtection="0">
      <alignment vertical="center"/>
    </xf>
    <xf numFmtId="0" fontId="63" fillId="34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253" fillId="0" borderId="79" applyNumberFormat="0" applyFill="0" applyAlignment="0" applyProtection="0">
      <alignment vertical="center"/>
    </xf>
    <xf numFmtId="0" fontId="257" fillId="0" borderId="80" applyNumberFormat="0" applyFill="0" applyAlignment="0" applyProtection="0">
      <alignment vertical="center"/>
    </xf>
    <xf numFmtId="0" fontId="258" fillId="0" borderId="81" applyNumberFormat="0" applyFill="0" applyAlignment="0" applyProtection="0">
      <alignment vertical="center"/>
    </xf>
    <xf numFmtId="0" fontId="258" fillId="0" borderId="0" applyNumberFormat="0" applyFill="0" applyBorder="0" applyAlignment="0" applyProtection="0">
      <alignment vertical="center"/>
    </xf>
    <xf numFmtId="0" fontId="332" fillId="0" borderId="0" applyNumberFormat="0" applyFill="0" applyBorder="0" applyAlignment="0" applyProtection="0">
      <alignment vertical="center"/>
    </xf>
    <xf numFmtId="0" fontId="249" fillId="73" borderId="84" applyNumberFormat="0" applyAlignment="0" applyProtection="0">
      <alignment vertical="center"/>
    </xf>
    <xf numFmtId="0" fontId="259" fillId="0" borderId="82" applyNumberFormat="0" applyFill="0" applyAlignment="0" applyProtection="0">
      <alignment vertical="center"/>
    </xf>
    <xf numFmtId="0" fontId="41" fillId="71" borderId="78" applyNumberFormat="0" applyFont="0" applyAlignment="0" applyProtection="0">
      <alignment vertical="center"/>
    </xf>
    <xf numFmtId="0" fontId="250" fillId="0" borderId="0" applyNumberFormat="0" applyFill="0" applyBorder="0" applyAlignment="0" applyProtection="0">
      <alignment vertical="center"/>
    </xf>
    <xf numFmtId="0" fontId="251" fillId="0" borderId="0" applyNumberFormat="0" applyFill="0" applyBorder="0" applyAlignment="0" applyProtection="0">
      <alignment vertical="center"/>
    </xf>
    <xf numFmtId="0" fontId="260" fillId="56" borderId="83" applyNumberFormat="0" applyAlignment="0" applyProtection="0">
      <alignment vertical="center"/>
    </xf>
    <xf numFmtId="0" fontId="234" fillId="0" borderId="0" applyNumberFormat="0" applyFill="0" applyBorder="0" applyAlignment="0" applyProtection="0">
      <alignment vertical="top"/>
      <protection locked="0"/>
    </xf>
    <xf numFmtId="0" fontId="256" fillId="27" borderId="83" applyNumberFormat="0" applyAlignment="0" applyProtection="0">
      <alignment vertical="center"/>
    </xf>
    <xf numFmtId="0" fontId="255" fillId="56" borderId="86" applyNumberFormat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2" fillId="0" borderId="85" applyNumberFormat="0" applyFill="0" applyAlignment="0" applyProtection="0">
      <alignment vertical="center"/>
    </xf>
    <xf numFmtId="352" fontId="18" fillId="0" borderId="0">
      <protection locked="0"/>
    </xf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35" fontId="2" fillId="0" borderId="0">
      <alignment vertical="center"/>
      <protection locked="0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189" fontId="2" fillId="0" borderId="0">
      <alignment vertical="center"/>
    </xf>
    <xf numFmtId="189" fontId="2" fillId="0" borderId="0">
      <alignment vertical="center"/>
    </xf>
    <xf numFmtId="189" fontId="2" fillId="0" borderId="0">
      <alignment vertical="center"/>
    </xf>
    <xf numFmtId="189" fontId="2" fillId="0" borderId="0">
      <alignment vertical="center"/>
    </xf>
    <xf numFmtId="189" fontId="2" fillId="0" borderId="0">
      <alignment vertical="center"/>
    </xf>
    <xf numFmtId="189" fontId="2" fillId="0" borderId="0">
      <alignment vertical="center"/>
    </xf>
    <xf numFmtId="189" fontId="2" fillId="0" borderId="0">
      <alignment vertical="center"/>
    </xf>
    <xf numFmtId="189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281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91" fontId="2" fillId="0" borderId="0" applyFont="0" applyFill="0" applyBorder="0" applyAlignment="0" applyProtection="0">
      <alignment vertical="center"/>
    </xf>
    <xf numFmtId="191" fontId="2" fillId="0" borderId="0" applyFont="0" applyFill="0" applyBorder="0" applyAlignment="0" applyProtection="0">
      <alignment vertical="center"/>
    </xf>
    <xf numFmtId="41" fontId="50" fillId="0" borderId="0" applyFont="0">
      <alignment horizontal="right"/>
    </xf>
    <xf numFmtId="43" fontId="30" fillId="0" borderId="39"/>
    <xf numFmtId="43" fontId="30" fillId="0" borderId="0">
      <alignment horizontal="right"/>
    </xf>
    <xf numFmtId="43" fontId="45" fillId="0" borderId="0">
      <alignment horizontal="right"/>
    </xf>
    <xf numFmtId="43" fontId="3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266" fillId="0" borderId="0" applyFont="0" applyFill="0" applyBorder="0" applyAlignment="0" applyProtection="0"/>
    <xf numFmtId="43" fontId="30" fillId="0" borderId="0" applyBorder="0"/>
    <xf numFmtId="43" fontId="47" fillId="0" borderId="0"/>
    <xf numFmtId="8" fontId="163" fillId="0" borderId="0" applyFont="0" applyFill="0" applyBorder="0" applyAlignment="0" applyProtection="0"/>
    <xf numFmtId="43" fontId="47" fillId="0" borderId="39"/>
    <xf numFmtId="43" fontId="47" fillId="0" borderId="36"/>
    <xf numFmtId="43" fontId="69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1" fontId="47" fillId="0" borderId="0"/>
    <xf numFmtId="41" fontId="42" fillId="0" borderId="0"/>
    <xf numFmtId="41" fontId="42" fillId="0" borderId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26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7" fillId="0" borderId="39"/>
    <xf numFmtId="43" fontId="30" fillId="0" borderId="39"/>
    <xf numFmtId="43" fontId="30" fillId="0" borderId="39"/>
    <xf numFmtId="43" fontId="47" fillId="0" borderId="39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30" fillId="0" borderId="0"/>
    <xf numFmtId="41" fontId="18" fillId="0" borderId="0" applyFont="0" applyFill="0" applyBorder="0" applyAlignment="0" applyProtection="0">
      <alignment vertical="center"/>
    </xf>
    <xf numFmtId="353" fontId="30" fillId="0" borderId="0"/>
    <xf numFmtId="184" fontId="2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353" fontId="41" fillId="0" borderId="0">
      <alignment vertical="center"/>
    </xf>
    <xf numFmtId="41" fontId="30" fillId="0" borderId="0" applyFont="0" applyFill="0" applyBorder="0" applyAlignment="0" applyProtection="0"/>
    <xf numFmtId="353" fontId="30" fillId="0" borderId="0"/>
    <xf numFmtId="184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353" fontId="30" fillId="0" borderId="0"/>
    <xf numFmtId="184" fontId="2" fillId="0" borderId="0" applyFont="0" applyFill="0" applyBorder="0" applyAlignment="0" applyProtection="0">
      <alignment vertical="center"/>
    </xf>
    <xf numFmtId="353" fontId="30" fillId="0" borderId="0"/>
    <xf numFmtId="184" fontId="2" fillId="0" borderId="0" applyFont="0" applyFill="0" applyBorder="0" applyAlignment="0" applyProtection="0">
      <alignment vertical="center"/>
    </xf>
    <xf numFmtId="353" fontId="30" fillId="0" borderId="0"/>
    <xf numFmtId="184" fontId="2" fillId="0" borderId="0" applyFont="0" applyFill="0" applyBorder="0" applyAlignment="0" applyProtection="0">
      <alignment vertical="center"/>
    </xf>
    <xf numFmtId="353" fontId="30" fillId="0" borderId="0"/>
    <xf numFmtId="8" fontId="163" fillId="0" borderId="0" applyFont="0" applyFill="0" applyBorder="0" applyAlignment="0" applyProtection="0"/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50" fillId="0" borderId="0" applyFont="0">
      <alignment horizontal="right"/>
    </xf>
    <xf numFmtId="43" fontId="30" fillId="0" borderId="39"/>
    <xf numFmtId="43" fontId="30" fillId="0" borderId="0">
      <alignment horizontal="right"/>
    </xf>
    <xf numFmtId="43" fontId="45" fillId="0" borderId="0">
      <alignment horizontal="right"/>
    </xf>
    <xf numFmtId="43" fontId="3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266" fillId="0" borderId="0" applyFont="0" applyFill="0" applyBorder="0" applyAlignment="0" applyProtection="0"/>
    <xf numFmtId="43" fontId="30" fillId="0" borderId="0" applyBorder="0"/>
    <xf numFmtId="43" fontId="47" fillId="0" borderId="0"/>
    <xf numFmtId="8" fontId="163" fillId="0" borderId="0" applyFont="0" applyFill="0" applyBorder="0" applyAlignment="0" applyProtection="0"/>
    <xf numFmtId="43" fontId="47" fillId="0" borderId="39"/>
    <xf numFmtId="43" fontId="47" fillId="0" borderId="36"/>
    <xf numFmtId="43" fontId="69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1" fontId="47" fillId="0" borderId="0"/>
    <xf numFmtId="41" fontId="42" fillId="0" borderId="0"/>
    <xf numFmtId="41" fontId="42" fillId="0" borderId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26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7" fillId="0" borderId="39"/>
    <xf numFmtId="43" fontId="30" fillId="0" borderId="39"/>
    <xf numFmtId="43" fontId="30" fillId="0" borderId="39"/>
    <xf numFmtId="43" fontId="47" fillId="0" borderId="39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</cellStyleXfs>
  <cellXfs count="402">
    <xf numFmtId="0" fontId="0" fillId="0" borderId="0" xfId="0"/>
    <xf numFmtId="41" fontId="5" fillId="0" borderId="2" xfId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41" fontId="4" fillId="0" borderId="1" xfId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41" fontId="5" fillId="0" borderId="1" xfId="1" applyFont="1" applyBorder="1"/>
    <xf numFmtId="0" fontId="5" fillId="0" borderId="0" xfId="0" applyFont="1"/>
    <xf numFmtId="41" fontId="5" fillId="0" borderId="0" xfId="0" applyNumberFormat="1" applyFont="1"/>
    <xf numFmtId="0" fontId="5" fillId="0" borderId="1" xfId="0" applyFont="1" applyBorder="1"/>
    <xf numFmtId="41" fontId="5" fillId="0" borderId="5" xfId="1" applyFont="1" applyBorder="1" applyAlignment="1">
      <alignment vertical="center"/>
    </xf>
    <xf numFmtId="41" fontId="5" fillId="0" borderId="1" xfId="1" applyFont="1" applyBorder="1" applyAlignment="1">
      <alignment horizontal="center" vertical="center"/>
    </xf>
    <xf numFmtId="41" fontId="5" fillId="0" borderId="1" xfId="0" applyNumberFormat="1" applyFont="1" applyBorder="1"/>
    <xf numFmtId="183" fontId="5" fillId="0" borderId="1" xfId="1" applyNumberFormat="1" applyFont="1" applyBorder="1"/>
    <xf numFmtId="183" fontId="5" fillId="0" borderId="1" xfId="0" applyNumberFormat="1" applyFont="1" applyBorder="1"/>
    <xf numFmtId="41" fontId="8" fillId="2" borderId="1" xfId="1" applyFont="1" applyFill="1" applyBorder="1"/>
    <xf numFmtId="41" fontId="5" fillId="2" borderId="1" xfId="1" applyFont="1" applyFill="1" applyBorder="1"/>
    <xf numFmtId="41" fontId="6" fillId="2" borderId="1" xfId="1" applyFont="1" applyFill="1" applyBorder="1"/>
    <xf numFmtId="41" fontId="6" fillId="2" borderId="1" xfId="1" applyFont="1" applyFill="1" applyBorder="1" applyAlignment="1">
      <alignment horizontal="center"/>
    </xf>
    <xf numFmtId="41" fontId="5" fillId="0" borderId="1" xfId="1" applyFont="1" applyBorder="1" applyAlignment="1">
      <alignment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left" vertical="center"/>
    </xf>
    <xf numFmtId="41" fontId="5" fillId="0" borderId="1" xfId="1" applyFont="1" applyBorder="1" applyAlignment="1">
      <alignment horizontal="left" vertical="center"/>
    </xf>
    <xf numFmtId="0" fontId="5" fillId="3" borderId="1" xfId="0" applyFont="1" applyFill="1" applyBorder="1"/>
    <xf numFmtId="41" fontId="5" fillId="3" borderId="1" xfId="0" applyNumberFormat="1" applyFont="1" applyFill="1" applyBorder="1"/>
    <xf numFmtId="0" fontId="5" fillId="5" borderId="1" xfId="0" applyFont="1" applyFill="1" applyBorder="1"/>
    <xf numFmtId="41" fontId="5" fillId="0" borderId="0" xfId="1" applyFont="1"/>
    <xf numFmtId="41" fontId="4" fillId="6" borderId="1" xfId="1" applyFont="1" applyFill="1" applyBorder="1" applyAlignment="1">
      <alignment horizontal="center" vertical="center"/>
    </xf>
    <xf numFmtId="183" fontId="5" fillId="0" borderId="0" xfId="0" applyNumberFormat="1" applyFont="1"/>
    <xf numFmtId="41" fontId="5" fillId="3" borderId="1" xfId="1" applyFont="1" applyFill="1" applyBorder="1"/>
    <xf numFmtId="14" fontId="4" fillId="3" borderId="1" xfId="0" applyNumberFormat="1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3" fontId="12" fillId="8" borderId="0" xfId="0" applyNumberFormat="1" applyFont="1" applyFill="1" applyAlignment="1">
      <alignment wrapText="1"/>
    </xf>
    <xf numFmtId="14" fontId="5" fillId="0" borderId="4" xfId="1" applyNumberFormat="1" applyFont="1" applyBorder="1" applyAlignment="1">
      <alignment horizontal="center" vertical="center"/>
    </xf>
    <xf numFmtId="183" fontId="5" fillId="4" borderId="1" xfId="1" applyNumberFormat="1" applyFont="1" applyFill="1" applyBorder="1"/>
    <xf numFmtId="41" fontId="5" fillId="0" borderId="4" xfId="1" applyFont="1" applyBorder="1" applyAlignment="1">
      <alignment horizontal="center" vertical="center"/>
    </xf>
    <xf numFmtId="183" fontId="5" fillId="0" borderId="4" xfId="1" applyNumberFormat="1" applyFont="1" applyBorder="1"/>
    <xf numFmtId="0" fontId="0" fillId="0" borderId="1" xfId="0" applyBorder="1"/>
    <xf numFmtId="14" fontId="0" fillId="0" borderId="1" xfId="0" applyNumberFormat="1" applyBorder="1"/>
    <xf numFmtId="41" fontId="0" fillId="0" borderId="1" xfId="1" applyFont="1" applyBorder="1"/>
    <xf numFmtId="41" fontId="5" fillId="3" borderId="12" xfId="0" applyNumberFormat="1" applyFont="1" applyFill="1" applyBorder="1"/>
    <xf numFmtId="43" fontId="5" fillId="0" borderId="0" xfId="0" applyNumberFormat="1" applyFont="1"/>
    <xf numFmtId="41" fontId="5" fillId="5" borderId="1" xfId="0" applyNumberFormat="1" applyFont="1" applyFill="1" applyBorder="1"/>
    <xf numFmtId="183" fontId="5" fillId="0" borderId="0" xfId="1" applyNumberFormat="1" applyFont="1"/>
    <xf numFmtId="3" fontId="17" fillId="7" borderId="1" xfId="0" applyNumberFormat="1" applyFont="1" applyFill="1" applyBorder="1" applyAlignment="1">
      <alignment wrapText="1"/>
    </xf>
    <xf numFmtId="0" fontId="17" fillId="7" borderId="1" xfId="0" applyFont="1" applyFill="1" applyBorder="1" applyAlignment="1">
      <alignment wrapText="1"/>
    </xf>
    <xf numFmtId="3" fontId="5" fillId="0" borderId="0" xfId="0" applyNumberFormat="1" applyFont="1"/>
    <xf numFmtId="41" fontId="5" fillId="4" borderId="0" xfId="1" applyFont="1" applyFill="1"/>
    <xf numFmtId="41" fontId="6" fillId="2" borderId="12" xfId="1" applyFont="1" applyFill="1" applyBorder="1"/>
    <xf numFmtId="41" fontId="5" fillId="0" borderId="12" xfId="1" applyFont="1" applyBorder="1"/>
    <xf numFmtId="0" fontId="5" fillId="3" borderId="12" xfId="0" applyFont="1" applyFill="1" applyBorder="1"/>
    <xf numFmtId="183" fontId="5" fillId="0" borderId="18" xfId="1" applyNumberFormat="1" applyFont="1" applyBorder="1"/>
    <xf numFmtId="41" fontId="5" fillId="3" borderId="22" xfId="0" applyNumberFormat="1" applyFont="1" applyFill="1" applyBorder="1"/>
    <xf numFmtId="41" fontId="5" fillId="3" borderId="23" xfId="0" applyNumberFormat="1" applyFont="1" applyFill="1" applyBorder="1"/>
    <xf numFmtId="41" fontId="6" fillId="2" borderId="24" xfId="1" applyFont="1" applyFill="1" applyBorder="1" applyAlignment="1">
      <alignment horizontal="center"/>
    </xf>
    <xf numFmtId="41" fontId="5" fillId="3" borderId="18" xfId="0" applyNumberFormat="1" applyFont="1" applyFill="1" applyBorder="1"/>
    <xf numFmtId="41" fontId="5" fillId="3" borderId="19" xfId="0" applyNumberFormat="1" applyFont="1" applyFill="1" applyBorder="1"/>
    <xf numFmtId="183" fontId="5" fillId="5" borderId="19" xfId="1" applyNumberFormat="1" applyFont="1" applyFill="1" applyBorder="1"/>
    <xf numFmtId="183" fontId="5" fillId="5" borderId="1" xfId="1" applyNumberFormat="1" applyFont="1" applyFill="1" applyBorder="1"/>
    <xf numFmtId="41" fontId="5" fillId="0" borderId="0" xfId="0" applyNumberFormat="1" applyFont="1" applyAlignment="1">
      <alignment wrapText="1"/>
    </xf>
    <xf numFmtId="41" fontId="6" fillId="5" borderId="25" xfId="1" applyFont="1" applyFill="1" applyBorder="1" applyAlignment="1">
      <alignment horizontal="center"/>
    </xf>
    <xf numFmtId="0" fontId="5" fillId="2" borderId="2" xfId="0" applyFont="1" applyFill="1" applyBorder="1"/>
    <xf numFmtId="41" fontId="5" fillId="2" borderId="6" xfId="0" applyNumberFormat="1" applyFont="1" applyFill="1" applyBorder="1"/>
    <xf numFmtId="41" fontId="13" fillId="2" borderId="28" xfId="0" applyNumberFormat="1" applyFont="1" applyFill="1" applyBorder="1"/>
    <xf numFmtId="41" fontId="13" fillId="2" borderId="29" xfId="0" applyNumberFormat="1" applyFont="1" applyFill="1" applyBorder="1"/>
    <xf numFmtId="41" fontId="13" fillId="10" borderId="3" xfId="0" applyNumberFormat="1" applyFont="1" applyFill="1" applyBorder="1"/>
    <xf numFmtId="41" fontId="13" fillId="10" borderId="4" xfId="0" applyNumberFormat="1" applyFont="1" applyFill="1" applyBorder="1"/>
    <xf numFmtId="41" fontId="13" fillId="10" borderId="30" xfId="0" applyNumberFormat="1" applyFont="1" applyFill="1" applyBorder="1"/>
    <xf numFmtId="41" fontId="13" fillId="10" borderId="31" xfId="0" applyNumberFormat="1" applyFont="1" applyFill="1" applyBorder="1"/>
    <xf numFmtId="41" fontId="13" fillId="10" borderId="32" xfId="0" applyNumberFormat="1" applyFont="1" applyFill="1" applyBorder="1"/>
    <xf numFmtId="41" fontId="13" fillId="10" borderId="20" xfId="0" applyNumberFormat="1" applyFont="1" applyFill="1" applyBorder="1"/>
    <xf numFmtId="0" fontId="5" fillId="10" borderId="1" xfId="0" applyFont="1" applyFill="1" applyBorder="1"/>
    <xf numFmtId="41" fontId="5" fillId="10" borderId="12" xfId="0" applyNumberFormat="1" applyFont="1" applyFill="1" applyBorder="1"/>
    <xf numFmtId="41" fontId="13" fillId="2" borderId="2" xfId="0" applyNumberFormat="1" applyFont="1" applyFill="1" applyBorder="1"/>
    <xf numFmtId="0" fontId="5" fillId="10" borderId="0" xfId="0" applyFont="1" applyFill="1"/>
    <xf numFmtId="0" fontId="5" fillId="10" borderId="4" xfId="0" applyFont="1" applyFill="1" applyBorder="1"/>
    <xf numFmtId="41" fontId="5" fillId="10" borderId="10" xfId="0" applyNumberFormat="1" applyFont="1" applyFill="1" applyBorder="1"/>
    <xf numFmtId="0" fontId="5" fillId="11" borderId="12" xfId="0" applyFont="1" applyFill="1" applyBorder="1"/>
    <xf numFmtId="0" fontId="5" fillId="11" borderId="1" xfId="0" applyFont="1" applyFill="1" applyBorder="1" applyAlignment="1">
      <alignment horizontal="left"/>
    </xf>
    <xf numFmtId="0" fontId="5" fillId="11" borderId="1" xfId="0" applyFont="1" applyFill="1" applyBorder="1"/>
    <xf numFmtId="41" fontId="5" fillId="11" borderId="12" xfId="0" applyNumberFormat="1" applyFont="1" applyFill="1" applyBorder="1"/>
    <xf numFmtId="41" fontId="13" fillId="11" borderId="18" xfId="0" applyNumberFormat="1" applyFont="1" applyFill="1" applyBorder="1"/>
    <xf numFmtId="41" fontId="13" fillId="11" borderId="33" xfId="0" applyNumberFormat="1" applyFont="1" applyFill="1" applyBorder="1"/>
    <xf numFmtId="0" fontId="5" fillId="11" borderId="21" xfId="0" applyFont="1" applyFill="1" applyBorder="1"/>
    <xf numFmtId="41" fontId="13" fillId="11" borderId="1" xfId="0" applyNumberFormat="1" applyFont="1" applyFill="1" applyBorder="1"/>
    <xf numFmtId="14" fontId="4" fillId="10" borderId="1" xfId="0" applyNumberFormat="1" applyFont="1" applyFill="1" applyBorder="1" applyAlignment="1">
      <alignment horizontal="center" vertical="center"/>
    </xf>
    <xf numFmtId="41" fontId="5" fillId="0" borderId="12" xfId="1" applyFont="1" applyBorder="1" applyAlignment="1">
      <alignment wrapText="1"/>
    </xf>
    <xf numFmtId="41" fontId="13" fillId="4" borderId="28" xfId="0" applyNumberFormat="1" applyFont="1" applyFill="1" applyBorder="1"/>
    <xf numFmtId="41" fontId="13" fillId="10" borderId="1" xfId="0" applyNumberFormat="1" applyFont="1" applyFill="1" applyBorder="1"/>
    <xf numFmtId="41" fontId="13" fillId="11" borderId="28" xfId="0" applyNumberFormat="1" applyFont="1" applyFill="1" applyBorder="1"/>
    <xf numFmtId="41" fontId="13" fillId="11" borderId="34" xfId="0" applyNumberFormat="1" applyFont="1" applyFill="1" applyBorder="1"/>
    <xf numFmtId="43" fontId="13" fillId="10" borderId="16" xfId="0" applyNumberFormat="1" applyFont="1" applyFill="1" applyBorder="1"/>
    <xf numFmtId="41" fontId="13" fillId="10" borderId="17" xfId="0" applyNumberFormat="1" applyFont="1" applyFill="1" applyBorder="1"/>
    <xf numFmtId="41" fontId="13" fillId="10" borderId="18" xfId="0" applyNumberFormat="1" applyFont="1" applyFill="1" applyBorder="1"/>
    <xf numFmtId="41" fontId="13" fillId="10" borderId="19" xfId="0" applyNumberFormat="1" applyFont="1" applyFill="1" applyBorder="1"/>
    <xf numFmtId="41" fontId="13" fillId="10" borderId="22" xfId="0" applyNumberFormat="1" applyFont="1" applyFill="1" applyBorder="1"/>
    <xf numFmtId="41" fontId="13" fillId="10" borderId="23" xfId="0" applyNumberFormat="1" applyFont="1" applyFill="1" applyBorder="1"/>
    <xf numFmtId="41" fontId="13" fillId="11" borderId="2" xfId="0" applyNumberFormat="1" applyFont="1" applyFill="1" applyBorder="1"/>
    <xf numFmtId="41" fontId="13" fillId="10" borderId="13" xfId="0" applyNumberFormat="1" applyFont="1" applyFill="1" applyBorder="1"/>
    <xf numFmtId="41" fontId="13" fillId="10" borderId="14" xfId="0" applyNumberFormat="1" applyFont="1" applyFill="1" applyBorder="1"/>
    <xf numFmtId="41" fontId="13" fillId="10" borderId="15" xfId="0" applyNumberFormat="1" applyFont="1" applyFill="1" applyBorder="1"/>
    <xf numFmtId="14" fontId="5" fillId="10" borderId="1" xfId="0" applyNumberFormat="1" applyFont="1" applyFill="1" applyBorder="1" applyAlignment="1">
      <alignment horizontal="center"/>
    </xf>
    <xf numFmtId="41" fontId="5" fillId="0" borderId="1" xfId="1" applyFont="1" applyBorder="1" applyAlignment="1">
      <alignment horizontal="center"/>
    </xf>
    <xf numFmtId="41" fontId="5" fillId="0" borderId="4" xfId="1" applyFont="1" applyBorder="1" applyAlignment="1">
      <alignment horizontal="left" vertical="center"/>
    </xf>
    <xf numFmtId="41" fontId="5" fillId="0" borderId="4" xfId="1" applyFont="1" applyBorder="1" applyAlignment="1">
      <alignment horizontal="center" vertical="center" wrapText="1"/>
    </xf>
    <xf numFmtId="183" fontId="5" fillId="0" borderId="1" xfId="1" applyNumberFormat="1" applyFont="1" applyFill="1" applyBorder="1"/>
    <xf numFmtId="3" fontId="24" fillId="7" borderId="1" xfId="0" applyNumberFormat="1" applyFont="1" applyFill="1" applyBorder="1" applyAlignment="1">
      <alignment wrapText="1"/>
    </xf>
    <xf numFmtId="14" fontId="4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vertical="center"/>
    </xf>
    <xf numFmtId="41" fontId="25" fillId="0" borderId="2" xfId="1" applyFont="1" applyBorder="1"/>
    <xf numFmtId="41" fontId="25" fillId="0" borderId="8" xfId="1" applyFont="1" applyBorder="1"/>
    <xf numFmtId="41" fontId="25" fillId="0" borderId="3" xfId="1" applyFont="1" applyBorder="1"/>
    <xf numFmtId="41" fontId="25" fillId="0" borderId="4" xfId="1" applyFont="1" applyBorder="1"/>
    <xf numFmtId="0" fontId="5" fillId="0" borderId="1" xfId="0" applyFont="1" applyBorder="1" applyAlignment="1">
      <alignment horizontal="right"/>
    </xf>
    <xf numFmtId="0" fontId="16" fillId="0" borderId="1" xfId="0" applyFont="1" applyBorder="1" applyAlignment="1">
      <alignment horizontal="right"/>
    </xf>
    <xf numFmtId="0" fontId="16" fillId="0" borderId="1" xfId="0" applyFont="1" applyBorder="1"/>
    <xf numFmtId="0" fontId="16" fillId="0" borderId="2" xfId="0" applyFont="1" applyBorder="1"/>
    <xf numFmtId="0" fontId="4" fillId="0" borderId="2" xfId="0" applyFont="1" applyBorder="1" applyAlignment="1">
      <alignment vertical="center"/>
    </xf>
    <xf numFmtId="0" fontId="0" fillId="13" borderId="36" xfId="0" applyFill="1" applyBorder="1"/>
    <xf numFmtId="0" fontId="4" fillId="13" borderId="37" xfId="0" applyFont="1" applyFill="1" applyBorder="1" applyAlignment="1">
      <alignment vertical="center"/>
    </xf>
    <xf numFmtId="0" fontId="0" fillId="13" borderId="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41" fontId="5" fillId="4" borderId="36" xfId="0" applyNumberFormat="1" applyFont="1" applyFill="1" applyBorder="1"/>
    <xf numFmtId="0" fontId="27" fillId="0" borderId="0" xfId="0" applyFont="1" applyAlignment="1">
      <alignment vertical="center"/>
    </xf>
    <xf numFmtId="0" fontId="0" fillId="13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186" fontId="4" fillId="0" borderId="1" xfId="1" applyNumberFormat="1" applyFont="1" applyBorder="1" applyAlignment="1">
      <alignment horizontal="center" vertical="center"/>
    </xf>
    <xf numFmtId="186" fontId="4" fillId="0" borderId="1" xfId="1" applyNumberFormat="1" applyFont="1" applyBorder="1" applyAlignment="1">
      <alignment vertical="center"/>
    </xf>
    <xf numFmtId="186" fontId="29" fillId="0" borderId="1" xfId="1" applyNumberFormat="1" applyFont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0" fillId="0" borderId="0" xfId="0" applyAlignment="1">
      <alignment horizontal="right"/>
    </xf>
    <xf numFmtId="0" fontId="33" fillId="0" borderId="0" xfId="0" applyFont="1"/>
    <xf numFmtId="41" fontId="29" fillId="0" borderId="1" xfId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41" fontId="25" fillId="0" borderId="10" xfId="1" applyFont="1" applyBorder="1"/>
    <xf numFmtId="41" fontId="25" fillId="0" borderId="6" xfId="1" applyFont="1" applyBorder="1"/>
    <xf numFmtId="41" fontId="26" fillId="13" borderId="37" xfId="0" applyNumberFormat="1" applyFont="1" applyFill="1" applyBorder="1"/>
    <xf numFmtId="41" fontId="26" fillId="13" borderId="38" xfId="0" applyNumberFormat="1" applyFont="1" applyFill="1" applyBorder="1"/>
    <xf numFmtId="0" fontId="13" fillId="0" borderId="0" xfId="0" applyFont="1"/>
    <xf numFmtId="183" fontId="15" fillId="0" borderId="1" xfId="1" applyNumberFormat="1" applyFont="1" applyBorder="1"/>
    <xf numFmtId="41" fontId="34" fillId="0" borderId="1" xfId="1" applyFont="1" applyBorder="1" applyAlignment="1">
      <alignment horizontal="center" vertical="center"/>
    </xf>
    <xf numFmtId="41" fontId="34" fillId="0" borderId="1" xfId="1" applyFont="1" applyBorder="1"/>
    <xf numFmtId="41" fontId="34" fillId="0" borderId="1" xfId="1" applyFont="1" applyBorder="1" applyAlignment="1">
      <alignment horizontal="left" vertical="center"/>
    </xf>
    <xf numFmtId="41" fontId="34" fillId="0" borderId="4" xfId="1" applyFont="1" applyBorder="1" applyAlignment="1">
      <alignment horizontal="center" vertical="center"/>
    </xf>
    <xf numFmtId="14" fontId="34" fillId="0" borderId="4" xfId="1" applyNumberFormat="1" applyFont="1" applyBorder="1" applyAlignment="1">
      <alignment horizontal="center" vertical="center"/>
    </xf>
    <xf numFmtId="41" fontId="5" fillId="0" borderId="1" xfId="1" applyFont="1" applyFill="1" applyBorder="1"/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187" fontId="34" fillId="0" borderId="1" xfId="1" applyNumberFormat="1" applyFont="1" applyBorder="1" applyAlignment="1">
      <alignment horizontal="center" vertical="center"/>
    </xf>
    <xf numFmtId="0" fontId="16" fillId="0" borderId="0" xfId="0" applyFont="1" applyAlignment="1">
      <alignment horizontal="right" vertical="center"/>
    </xf>
    <xf numFmtId="14" fontId="4" fillId="0" borderId="0" xfId="0" applyNumberFormat="1" applyFont="1" applyAlignment="1">
      <alignment horizontal="center" vertical="center"/>
    </xf>
    <xf numFmtId="0" fontId="4" fillId="0" borderId="3" xfId="0" applyFont="1" applyBorder="1" applyAlignment="1">
      <alignment vertical="center"/>
    </xf>
    <xf numFmtId="41" fontId="35" fillId="0" borderId="3" xfId="1" applyFont="1" applyBorder="1"/>
    <xf numFmtId="41" fontId="35" fillId="0" borderId="8" xfId="1" applyFont="1" applyBorder="1"/>
    <xf numFmtId="41" fontId="35" fillId="0" borderId="6" xfId="1" applyFont="1" applyBorder="1"/>
    <xf numFmtId="187" fontId="5" fillId="0" borderId="1" xfId="1" applyNumberFormat="1" applyFont="1" applyBorder="1" applyAlignment="1">
      <alignment horizontal="center" vertical="center"/>
    </xf>
    <xf numFmtId="14" fontId="15" fillId="0" borderId="4" xfId="1" applyNumberFormat="1" applyFont="1" applyBorder="1" applyAlignment="1">
      <alignment horizontal="center" vertical="center"/>
    </xf>
    <xf numFmtId="14" fontId="5" fillId="0" borderId="4" xfId="1" applyNumberFormat="1" applyFont="1" applyFill="1" applyBorder="1" applyAlignment="1">
      <alignment horizontal="center" vertical="center"/>
    </xf>
    <xf numFmtId="41" fontId="5" fillId="0" borderId="0" xfId="1" applyFont="1" applyFill="1"/>
    <xf numFmtId="41" fontId="5" fillId="0" borderId="1" xfId="1" applyFont="1" applyFill="1" applyBorder="1" applyAlignment="1">
      <alignment vertical="center"/>
    </xf>
    <xf numFmtId="41" fontId="5" fillId="0" borderId="1" xfId="1" applyFont="1" applyFill="1" applyBorder="1" applyAlignment="1">
      <alignment horizontal="center" vertical="center"/>
    </xf>
    <xf numFmtId="41" fontId="5" fillId="0" borderId="1" xfId="1" applyFont="1" applyFill="1" applyBorder="1" applyAlignment="1">
      <alignment horizontal="left" vertical="center"/>
    </xf>
    <xf numFmtId="41" fontId="6" fillId="0" borderId="0" xfId="1" applyFont="1" applyFill="1" applyAlignment="1">
      <alignment horizontal="center"/>
    </xf>
    <xf numFmtId="0" fontId="36" fillId="15" borderId="1" xfId="0" applyFont="1" applyFill="1" applyBorder="1" applyAlignment="1">
      <alignment horizontal="center"/>
    </xf>
    <xf numFmtId="3" fontId="5" fillId="0" borderId="1" xfId="0" applyNumberFormat="1" applyFont="1" applyBorder="1"/>
    <xf numFmtId="41" fontId="5" fillId="14" borderId="1" xfId="0" applyNumberFormat="1" applyFont="1" applyFill="1" applyBorder="1"/>
    <xf numFmtId="41" fontId="5" fillId="14" borderId="1" xfId="1" applyFont="1" applyFill="1" applyBorder="1"/>
    <xf numFmtId="3" fontId="17" fillId="0" borderId="1" xfId="0" applyNumberFormat="1" applyFont="1" applyBorder="1" applyAlignment="1">
      <alignment wrapText="1"/>
    </xf>
    <xf numFmtId="187" fontId="4" fillId="0" borderId="1" xfId="1" applyNumberFormat="1" applyFont="1" applyBorder="1" applyAlignment="1">
      <alignment horizontal="center" vertical="center"/>
    </xf>
    <xf numFmtId="187" fontId="5" fillId="0" borderId="4" xfId="1" applyNumberFormat="1" applyFont="1" applyBorder="1" applyAlignment="1">
      <alignment horizontal="center" vertical="center"/>
    </xf>
    <xf numFmtId="188" fontId="5" fillId="0" borderId="0" xfId="0" applyNumberFormat="1" applyFont="1"/>
    <xf numFmtId="188" fontId="5" fillId="4" borderId="0" xfId="0" applyNumberFormat="1" applyFont="1" applyFill="1"/>
    <xf numFmtId="41" fontId="11" fillId="0" borderId="1" xfId="1" applyFont="1" applyBorder="1"/>
    <xf numFmtId="41" fontId="11" fillId="0" borderId="4" xfId="1" applyFont="1" applyFill="1" applyBorder="1"/>
    <xf numFmtId="41" fontId="11" fillId="16" borderId="4" xfId="1" applyFont="1" applyFill="1" applyBorder="1"/>
    <xf numFmtId="41" fontId="11" fillId="0" borderId="4" xfId="1" applyFont="1" applyBorder="1"/>
    <xf numFmtId="41" fontId="11" fillId="0" borderId="1" xfId="1" applyFont="1" applyFill="1" applyBorder="1"/>
    <xf numFmtId="41" fontId="7" fillId="0" borderId="1" xfId="1" applyFont="1" applyBorder="1" applyAlignment="1">
      <alignment horizontal="right" vertical="center" wrapText="1"/>
    </xf>
    <xf numFmtId="41" fontId="16" fillId="0" borderId="1" xfId="1" applyFont="1" applyBorder="1"/>
    <xf numFmtId="41" fontId="16" fillId="4" borderId="1" xfId="1" applyFont="1" applyFill="1" applyBorder="1"/>
    <xf numFmtId="41" fontId="16" fillId="0" borderId="1" xfId="1" applyFont="1" applyFill="1" applyBorder="1"/>
    <xf numFmtId="41" fontId="15" fillId="0" borderId="4" xfId="1" applyFont="1" applyBorder="1"/>
    <xf numFmtId="41" fontId="34" fillId="0" borderId="4" xfId="1" applyFont="1" applyBorder="1"/>
    <xf numFmtId="41" fontId="15" fillId="0" borderId="1" xfId="1" applyFont="1" applyFill="1" applyBorder="1"/>
    <xf numFmtId="41" fontId="15" fillId="0" borderId="1" xfId="1" applyFont="1" applyBorder="1"/>
    <xf numFmtId="41" fontId="34" fillId="0" borderId="1" xfId="1" applyFont="1" applyFill="1" applyBorder="1"/>
    <xf numFmtId="41" fontId="15" fillId="9" borderId="1" xfId="1" applyFont="1" applyFill="1" applyBorder="1"/>
    <xf numFmtId="41" fontId="34" fillId="0" borderId="4" xfId="1" applyFont="1" applyFill="1" applyBorder="1"/>
    <xf numFmtId="41" fontId="34" fillId="9" borderId="1" xfId="1" applyFont="1" applyFill="1" applyBorder="1"/>
    <xf numFmtId="41" fontId="11" fillId="9" borderId="4" xfId="1" applyFont="1" applyFill="1" applyBorder="1"/>
    <xf numFmtId="41" fontId="5" fillId="4" borderId="1" xfId="1" applyFont="1" applyFill="1" applyBorder="1"/>
    <xf numFmtId="41" fontId="11" fillId="6" borderId="1" xfId="1" applyFont="1" applyFill="1" applyBorder="1"/>
    <xf numFmtId="41" fontId="5" fillId="0" borderId="2" xfId="1" applyFont="1" applyBorder="1"/>
    <xf numFmtId="41" fontId="5" fillId="0" borderId="13" xfId="1" applyFont="1" applyFill="1" applyBorder="1"/>
    <xf numFmtId="41" fontId="5" fillId="0" borderId="5" xfId="1" applyFont="1" applyBorder="1"/>
    <xf numFmtId="41" fontId="5" fillId="0" borderId="14" xfId="1" applyFont="1" applyFill="1" applyBorder="1"/>
    <xf numFmtId="41" fontId="5" fillId="0" borderId="13" xfId="1" applyFont="1" applyBorder="1"/>
    <xf numFmtId="41" fontId="5" fillId="0" borderId="4" xfId="1" applyFont="1" applyFill="1" applyBorder="1"/>
    <xf numFmtId="41" fontId="5" fillId="0" borderId="14" xfId="1" applyFont="1" applyBorder="1"/>
    <xf numFmtId="41" fontId="5" fillId="6" borderId="1" xfId="1" applyFont="1" applyFill="1" applyBorder="1"/>
    <xf numFmtId="41" fontId="5" fillId="0" borderId="4" xfId="1" applyFont="1" applyBorder="1"/>
    <xf numFmtId="41" fontId="5" fillId="9" borderId="1" xfId="1" applyFont="1" applyFill="1" applyBorder="1"/>
    <xf numFmtId="41" fontId="19" fillId="4" borderId="1" xfId="1" applyFont="1" applyFill="1" applyBorder="1" applyAlignment="1">
      <alignment horizontal="right" vertical="center" wrapText="1"/>
    </xf>
    <xf numFmtId="41" fontId="7" fillId="0" borderId="2" xfId="1" applyFont="1" applyBorder="1" applyAlignment="1">
      <alignment horizontal="right" vertical="center" wrapText="1"/>
    </xf>
    <xf numFmtId="41" fontId="5" fillId="4" borderId="2" xfId="1" applyFont="1" applyFill="1" applyBorder="1"/>
    <xf numFmtId="41" fontId="7" fillId="0" borderId="6" xfId="1" applyFont="1" applyBorder="1" applyAlignment="1">
      <alignment horizontal="right" vertical="center" wrapText="1"/>
    </xf>
    <xf numFmtId="41" fontId="5" fillId="12" borderId="13" xfId="1" applyFont="1" applyFill="1" applyBorder="1"/>
    <xf numFmtId="41" fontId="5" fillId="0" borderId="7" xfId="1" applyFont="1" applyBorder="1"/>
    <xf numFmtId="41" fontId="5" fillId="12" borderId="14" xfId="1" applyFont="1" applyFill="1" applyBorder="1"/>
    <xf numFmtId="41" fontId="5" fillId="11" borderId="1" xfId="1" applyFont="1" applyFill="1" applyBorder="1"/>
    <xf numFmtId="41" fontId="5" fillId="12" borderId="35" xfId="1" applyFont="1" applyFill="1" applyBorder="1"/>
    <xf numFmtId="41" fontId="11" fillId="9" borderId="1" xfId="1" applyFont="1" applyFill="1" applyBorder="1"/>
    <xf numFmtId="41" fontId="11" fillId="4" borderId="4" xfId="1" applyFont="1" applyFill="1" applyBorder="1"/>
    <xf numFmtId="41" fontId="16" fillId="0" borderId="0" xfId="1" applyFont="1"/>
    <xf numFmtId="41" fontId="11" fillId="5" borderId="1" xfId="1" applyFont="1" applyFill="1" applyBorder="1"/>
    <xf numFmtId="41" fontId="11" fillId="5" borderId="19" xfId="1" applyFont="1" applyFill="1" applyBorder="1"/>
    <xf numFmtId="41" fontId="5" fillId="3" borderId="2" xfId="1" applyFont="1" applyFill="1" applyBorder="1"/>
    <xf numFmtId="41" fontId="5" fillId="3" borderId="0" xfId="1" applyFont="1" applyFill="1"/>
    <xf numFmtId="41" fontId="5" fillId="3" borderId="39" xfId="1" applyFont="1" applyFill="1" applyBorder="1"/>
    <xf numFmtId="41" fontId="5" fillId="3" borderId="0" xfId="1" applyFont="1" applyFill="1" applyBorder="1"/>
    <xf numFmtId="41" fontId="5" fillId="0" borderId="0" xfId="1" applyFont="1" applyFill="1" applyBorder="1"/>
    <xf numFmtId="41" fontId="5" fillId="0" borderId="0" xfId="1" applyFont="1" applyFill="1" applyBorder="1" applyAlignment="1">
      <alignment wrapText="1"/>
    </xf>
    <xf numFmtId="41" fontId="34" fillId="0" borderId="0" xfId="1" applyFont="1" applyFill="1" applyBorder="1"/>
    <xf numFmtId="41" fontId="15" fillId="0" borderId="0" xfId="1" applyFont="1" applyFill="1"/>
    <xf numFmtId="41" fontId="34" fillId="0" borderId="0" xfId="1" applyFont="1" applyFill="1"/>
    <xf numFmtId="41" fontId="34" fillId="4" borderId="0" xfId="1" applyFont="1" applyFill="1"/>
    <xf numFmtId="38" fontId="5" fillId="9" borderId="1" xfId="1" applyNumberFormat="1" applyFont="1" applyFill="1" applyBorder="1"/>
    <xf numFmtId="38" fontId="5" fillId="4" borderId="1" xfId="1" applyNumberFormat="1" applyFont="1" applyFill="1" applyBorder="1"/>
    <xf numFmtId="38" fontId="5" fillId="0" borderId="14" xfId="1" applyNumberFormat="1" applyFont="1" applyFill="1" applyBorder="1"/>
    <xf numFmtId="38" fontId="5" fillId="17" borderId="14" xfId="1" applyNumberFormat="1" applyFont="1" applyFill="1" applyBorder="1"/>
    <xf numFmtId="0" fontId="5" fillId="0" borderId="0" xfId="0" applyFont="1" applyAlignment="1">
      <alignment vertical="center"/>
    </xf>
    <xf numFmtId="3" fontId="17" fillId="7" borderId="0" xfId="0" applyNumberFormat="1" applyFont="1" applyFill="1" applyAlignment="1">
      <alignment wrapText="1"/>
    </xf>
    <xf numFmtId="41" fontId="5" fillId="3" borderId="1" xfId="1" applyFont="1" applyFill="1" applyBorder="1" applyAlignment="1"/>
    <xf numFmtId="38" fontId="5" fillId="0" borderId="1" xfId="1" applyNumberFormat="1" applyFont="1" applyFill="1" applyBorder="1"/>
    <xf numFmtId="186" fontId="11" fillId="0" borderId="4" xfId="1" applyNumberFormat="1" applyFont="1" applyFill="1" applyBorder="1"/>
    <xf numFmtId="186" fontId="5" fillId="3" borderId="0" xfId="1" applyNumberFormat="1" applyFont="1" applyFill="1" applyAlignment="1">
      <alignment wrapText="1"/>
    </xf>
    <xf numFmtId="0" fontId="5" fillId="0" borderId="2" xfId="0" applyFont="1" applyBorder="1"/>
    <xf numFmtId="41" fontId="12" fillId="14" borderId="0" xfId="1" applyFont="1" applyFill="1" applyAlignment="1">
      <alignment wrapText="1"/>
    </xf>
    <xf numFmtId="333" fontId="29" fillId="0" borderId="1" xfId="122" applyNumberFormat="1" applyFont="1" applyBorder="1"/>
    <xf numFmtId="41" fontId="5" fillId="4" borderId="0" xfId="0" applyNumberFormat="1" applyFont="1" applyFill="1"/>
    <xf numFmtId="41" fontId="5" fillId="0" borderId="0" xfId="1" applyFont="1" applyAlignment="1">
      <alignment horizontal="right"/>
    </xf>
    <xf numFmtId="41" fontId="11" fillId="5" borderId="12" xfId="1" applyFont="1" applyFill="1" applyBorder="1"/>
    <xf numFmtId="41" fontId="5" fillId="0" borderId="2" xfId="1" applyFont="1" applyFill="1" applyBorder="1"/>
    <xf numFmtId="38" fontId="5" fillId="0" borderId="0" xfId="0" applyNumberFormat="1" applyFont="1"/>
    <xf numFmtId="186" fontId="4" fillId="0" borderId="4" xfId="1" applyNumberFormat="1" applyFont="1" applyBorder="1" applyAlignment="1">
      <alignment horizontal="center" vertical="center"/>
    </xf>
    <xf numFmtId="187" fontId="5" fillId="0" borderId="3" xfId="1" applyNumberFormat="1" applyFont="1" applyBorder="1" applyAlignment="1">
      <alignment horizontal="center" vertical="center"/>
    </xf>
    <xf numFmtId="41" fontId="5" fillId="0" borderId="2" xfId="1" applyFont="1" applyFill="1" applyBorder="1" applyAlignment="1">
      <alignment vertical="center"/>
    </xf>
    <xf numFmtId="41" fontId="5" fillId="0" borderId="2" xfId="1" applyFont="1" applyBorder="1" applyAlignment="1">
      <alignment vertical="center"/>
    </xf>
    <xf numFmtId="14" fontId="5" fillId="0" borderId="2" xfId="1" applyNumberFormat="1" applyFont="1" applyFill="1" applyBorder="1" applyAlignment="1">
      <alignment vertical="center"/>
    </xf>
    <xf numFmtId="0" fontId="5" fillId="3" borderId="0" xfId="0" applyFont="1" applyFill="1"/>
    <xf numFmtId="41" fontId="5" fillId="3" borderId="2" xfId="1" applyFont="1" applyFill="1" applyBorder="1" applyAlignment="1">
      <alignment vertical="center"/>
    </xf>
    <xf numFmtId="14" fontId="5" fillId="3" borderId="2" xfId="1" applyNumberFormat="1" applyFont="1" applyFill="1" applyBorder="1" applyAlignment="1">
      <alignment vertical="center"/>
    </xf>
    <xf numFmtId="38" fontId="5" fillId="3" borderId="1" xfId="1" applyNumberFormat="1" applyFont="1" applyFill="1" applyBorder="1"/>
    <xf numFmtId="41" fontId="5" fillId="3" borderId="2" xfId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41" fontId="7" fillId="3" borderId="1" xfId="1" applyFont="1" applyFill="1" applyBorder="1" applyAlignment="1">
      <alignment horizontal="right" vertical="center" wrapText="1"/>
    </xf>
    <xf numFmtId="41" fontId="5" fillId="3" borderId="3" xfId="1" applyFont="1" applyFill="1" applyBorder="1" applyAlignment="1">
      <alignment horizontal="center" vertical="center"/>
    </xf>
    <xf numFmtId="14" fontId="4" fillId="3" borderId="3" xfId="0" applyNumberFormat="1" applyFont="1" applyFill="1" applyBorder="1" applyAlignment="1">
      <alignment horizontal="center" vertical="center"/>
    </xf>
    <xf numFmtId="41" fontId="5" fillId="3" borderId="12" xfId="1" applyFont="1" applyFill="1" applyBorder="1"/>
    <xf numFmtId="38" fontId="5" fillId="3" borderId="47" xfId="1" applyNumberFormat="1" applyFont="1" applyFill="1" applyBorder="1"/>
    <xf numFmtId="41" fontId="5" fillId="3" borderId="5" xfId="1" applyFont="1" applyFill="1" applyBorder="1"/>
    <xf numFmtId="187" fontId="5" fillId="0" borderId="4" xfId="1" applyNumberFormat="1" applyFont="1" applyFill="1" applyBorder="1" applyAlignment="1">
      <alignment horizontal="center" vertical="center"/>
    </xf>
    <xf numFmtId="41" fontId="5" fillId="0" borderId="4" xfId="1" applyFont="1" applyFill="1" applyBorder="1" applyAlignment="1">
      <alignment horizontal="center" vertical="center"/>
    </xf>
    <xf numFmtId="182" fontId="5" fillId="0" borderId="0" xfId="0" applyNumberFormat="1" applyFont="1"/>
    <xf numFmtId="41" fontId="36" fillId="3" borderId="1" xfId="1" applyFont="1" applyFill="1" applyBorder="1"/>
    <xf numFmtId="41" fontId="5" fillId="0" borderId="1" xfId="1" applyFont="1" applyFill="1" applyBorder="1" applyAlignment="1">
      <alignment horizontal="left"/>
    </xf>
    <xf numFmtId="187" fontId="5" fillId="4" borderId="4" xfId="1" applyNumberFormat="1" applyFont="1" applyFill="1" applyBorder="1" applyAlignment="1">
      <alignment horizontal="center" vertical="center"/>
    </xf>
    <xf numFmtId="0" fontId="16" fillId="0" borderId="0" xfId="0" applyFont="1"/>
    <xf numFmtId="38" fontId="16" fillId="0" borderId="1" xfId="1" applyNumberFormat="1" applyFont="1" applyFill="1" applyBorder="1"/>
    <xf numFmtId="183" fontId="16" fillId="0" borderId="1" xfId="1" applyNumberFormat="1" applyFont="1" applyBorder="1"/>
    <xf numFmtId="3" fontId="11" fillId="0" borderId="1" xfId="1" applyNumberFormat="1" applyFont="1" applyFill="1" applyBorder="1"/>
    <xf numFmtId="3" fontId="0" fillId="0" borderId="0" xfId="0" applyNumberFormat="1"/>
    <xf numFmtId="3" fontId="5" fillId="0" borderId="0" xfId="1" applyNumberFormat="1" applyFont="1" applyFill="1"/>
    <xf numFmtId="3" fontId="5" fillId="0" borderId="8" xfId="1" applyNumberFormat="1" applyFont="1" applyFill="1" applyBorder="1"/>
    <xf numFmtId="3" fontId="5" fillId="0" borderId="0" xfId="1" applyNumberFormat="1" applyFont="1"/>
    <xf numFmtId="41" fontId="36" fillId="0" borderId="4" xfId="1" applyFont="1" applyBorder="1"/>
    <xf numFmtId="41" fontId="333" fillId="0" borderId="4" xfId="1" applyFont="1" applyBorder="1"/>
    <xf numFmtId="41" fontId="333" fillId="0" borderId="4" xfId="1" applyFont="1" applyFill="1" applyBorder="1"/>
    <xf numFmtId="41" fontId="36" fillId="0" borderId="1" xfId="1" applyFont="1" applyFill="1" applyBorder="1"/>
    <xf numFmtId="41" fontId="333" fillId="0" borderId="1" xfId="1" applyFont="1" applyFill="1" applyBorder="1"/>
    <xf numFmtId="41" fontId="36" fillId="0" borderId="1" xfId="1" applyFont="1" applyBorder="1"/>
    <xf numFmtId="41" fontId="333" fillId="0" borderId="1" xfId="1" applyFont="1" applyBorder="1"/>
    <xf numFmtId="3" fontId="0" fillId="0" borderId="1" xfId="0" applyNumberFormat="1" applyBorder="1"/>
    <xf numFmtId="186" fontId="4" fillId="0" borderId="4" xfId="1" applyNumberFormat="1" applyFont="1" applyFill="1" applyBorder="1" applyAlignment="1">
      <alignment horizontal="center" vertical="center"/>
    </xf>
    <xf numFmtId="187" fontId="4" fillId="0" borderId="4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5" fillId="86" borderId="1" xfId="1" applyFont="1" applyFill="1" applyBorder="1"/>
    <xf numFmtId="3" fontId="24" fillId="7" borderId="0" xfId="0" applyNumberFormat="1" applyFont="1" applyFill="1" applyAlignment="1">
      <alignment wrapText="1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41" fontId="0" fillId="0" borderId="0" xfId="0" applyNumberFormat="1"/>
    <xf numFmtId="41" fontId="5" fillId="14" borderId="4" xfId="1" applyFont="1" applyFill="1" applyBorder="1" applyAlignment="1">
      <alignment horizontal="center" vertical="center"/>
    </xf>
    <xf numFmtId="14" fontId="5" fillId="14" borderId="4" xfId="1" applyNumberFormat="1" applyFont="1" applyFill="1" applyBorder="1" applyAlignment="1">
      <alignment horizontal="center" vertical="center"/>
    </xf>
    <xf numFmtId="186" fontId="4" fillId="14" borderId="4" xfId="1" applyNumberFormat="1" applyFont="1" applyFill="1" applyBorder="1" applyAlignment="1">
      <alignment horizontal="center" vertical="center"/>
    </xf>
    <xf numFmtId="38" fontId="5" fillId="14" borderId="1" xfId="1" applyNumberFormat="1" applyFont="1" applyFill="1" applyBorder="1"/>
    <xf numFmtId="0" fontId="5" fillId="14" borderId="0" xfId="0" applyFont="1" applyFill="1"/>
    <xf numFmtId="3" fontId="5" fillId="3" borderId="1" xfId="0" applyNumberFormat="1" applyFont="1" applyFill="1" applyBorder="1"/>
    <xf numFmtId="41" fontId="5" fillId="0" borderId="0" xfId="0" quotePrefix="1" applyNumberFormat="1" applyFont="1"/>
    <xf numFmtId="0" fontId="334" fillId="0" borderId="1" xfId="0" applyFont="1" applyBorder="1" applyAlignment="1">
      <alignment horizontal="center" vertical="center"/>
    </xf>
    <xf numFmtId="0" fontId="334" fillId="0" borderId="1" xfId="0" applyFont="1" applyBorder="1"/>
    <xf numFmtId="3" fontId="334" fillId="0" borderId="1" xfId="0" applyNumberFormat="1" applyFont="1" applyBorder="1"/>
    <xf numFmtId="0" fontId="334" fillId="0" borderId="0" xfId="0" applyFont="1"/>
    <xf numFmtId="3" fontId="334" fillId="0" borderId="0" xfId="0" applyNumberFormat="1" applyFont="1"/>
    <xf numFmtId="4" fontId="0" fillId="0" borderId="1" xfId="0" applyNumberFormat="1" applyBorder="1" applyAlignment="1">
      <alignment vertical="center"/>
    </xf>
    <xf numFmtId="0" fontId="36" fillId="4" borderId="0" xfId="0" applyFont="1" applyFill="1"/>
    <xf numFmtId="41" fontId="36" fillId="4" borderId="0" xfId="0" applyNumberFormat="1" applyFont="1" applyFill="1"/>
    <xf numFmtId="41" fontId="5" fillId="0" borderId="0" xfId="4808" applyFont="1" applyAlignment="1"/>
    <xf numFmtId="41" fontId="5" fillId="0" borderId="2" xfId="1" applyFont="1" applyBorder="1" applyAlignment="1">
      <alignment horizontal="center" vertical="center"/>
    </xf>
    <xf numFmtId="41" fontId="5" fillId="0" borderId="3" xfId="1" applyFont="1" applyBorder="1" applyAlignment="1">
      <alignment horizontal="center" vertical="center"/>
    </xf>
    <xf numFmtId="41" fontId="5" fillId="0" borderId="4" xfId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41" fontId="4" fillId="4" borderId="2" xfId="1" applyFont="1" applyFill="1" applyBorder="1" applyAlignment="1">
      <alignment horizontal="center" vertical="center"/>
    </xf>
    <xf numFmtId="41" fontId="4" fillId="4" borderId="3" xfId="1" applyFont="1" applyFill="1" applyBorder="1" applyAlignment="1">
      <alignment horizontal="center" vertical="center"/>
    </xf>
    <xf numFmtId="41" fontId="4" fillId="4" borderId="4" xfId="1" applyFont="1" applyFill="1" applyBorder="1" applyAlignment="1">
      <alignment horizontal="center" vertical="center"/>
    </xf>
    <xf numFmtId="41" fontId="6" fillId="2" borderId="26" xfId="1" applyFont="1" applyFill="1" applyBorder="1" applyAlignment="1">
      <alignment horizontal="center"/>
    </xf>
    <xf numFmtId="41" fontId="6" fillId="2" borderId="27" xfId="1" applyFont="1" applyFill="1" applyBorder="1" applyAlignment="1">
      <alignment horizontal="center"/>
    </xf>
    <xf numFmtId="41" fontId="4" fillId="0" borderId="2" xfId="1" applyFont="1" applyBorder="1" applyAlignment="1">
      <alignment horizontal="center" vertical="center"/>
    </xf>
    <xf numFmtId="41" fontId="4" fillId="0" borderId="3" xfId="1" applyFont="1" applyBorder="1" applyAlignment="1">
      <alignment horizontal="center" vertical="center"/>
    </xf>
    <xf numFmtId="41" fontId="4" fillId="0" borderId="4" xfId="1" applyFont="1" applyBorder="1" applyAlignment="1">
      <alignment horizontal="center" vertical="center"/>
    </xf>
    <xf numFmtId="187" fontId="5" fillId="0" borderId="2" xfId="1" applyNumberFormat="1" applyFont="1" applyBorder="1" applyAlignment="1">
      <alignment horizontal="center" vertical="center"/>
    </xf>
    <xf numFmtId="187" fontId="5" fillId="0" borderId="3" xfId="1" applyNumberFormat="1" applyFont="1" applyBorder="1" applyAlignment="1">
      <alignment horizontal="center" vertical="center"/>
    </xf>
    <xf numFmtId="187" fontId="5" fillId="0" borderId="4" xfId="1" applyNumberFormat="1" applyFont="1" applyBorder="1" applyAlignment="1">
      <alignment horizontal="center" vertical="center"/>
    </xf>
    <xf numFmtId="14" fontId="16" fillId="0" borderId="2" xfId="1" applyNumberFormat="1" applyFont="1" applyFill="1" applyBorder="1" applyAlignment="1">
      <alignment horizontal="center" vertical="center"/>
    </xf>
    <xf numFmtId="14" fontId="16" fillId="0" borderId="3" xfId="1" applyNumberFormat="1" applyFont="1" applyFill="1" applyBorder="1" applyAlignment="1">
      <alignment horizontal="center" vertical="center"/>
    </xf>
    <xf numFmtId="14" fontId="16" fillId="0" borderId="4" xfId="1" applyNumberFormat="1" applyFont="1" applyFill="1" applyBorder="1" applyAlignment="1">
      <alignment horizontal="center" vertical="center"/>
    </xf>
    <xf numFmtId="187" fontId="16" fillId="0" borderId="2" xfId="1" applyNumberFormat="1" applyFont="1" applyBorder="1" applyAlignment="1">
      <alignment horizontal="center" vertical="center"/>
    </xf>
    <xf numFmtId="187" fontId="16" fillId="0" borderId="3" xfId="1" applyNumberFormat="1" applyFont="1" applyBorder="1" applyAlignment="1">
      <alignment horizontal="center" vertical="center"/>
    </xf>
    <xf numFmtId="187" fontId="16" fillId="0" borderId="4" xfId="1" applyNumberFormat="1" applyFont="1" applyBorder="1" applyAlignment="1">
      <alignment horizontal="center" vertical="center"/>
    </xf>
    <xf numFmtId="14" fontId="5" fillId="0" borderId="2" xfId="1" applyNumberFormat="1" applyFont="1" applyFill="1" applyBorder="1" applyAlignment="1">
      <alignment horizontal="center" vertical="center"/>
    </xf>
    <xf numFmtId="14" fontId="5" fillId="0" borderId="3" xfId="1" applyNumberFormat="1" applyFont="1" applyFill="1" applyBorder="1" applyAlignment="1">
      <alignment horizontal="center" vertical="center"/>
    </xf>
    <xf numFmtId="14" fontId="5" fillId="0" borderId="4" xfId="1" applyNumberFormat="1" applyFont="1" applyFill="1" applyBorder="1" applyAlignment="1">
      <alignment horizontal="center" vertical="center"/>
    </xf>
    <xf numFmtId="41" fontId="5" fillId="0" borderId="2" xfId="1" applyFont="1" applyFill="1" applyBorder="1" applyAlignment="1">
      <alignment horizontal="center" vertical="center"/>
    </xf>
    <xf numFmtId="41" fontId="5" fillId="0" borderId="3" xfId="1" applyFont="1" applyFill="1" applyBorder="1" applyAlignment="1">
      <alignment horizontal="center" vertical="center"/>
    </xf>
    <xf numFmtId="41" fontId="5" fillId="0" borderId="4" xfId="1" applyFont="1" applyFill="1" applyBorder="1" applyAlignment="1">
      <alignment horizontal="center" vertical="center"/>
    </xf>
    <xf numFmtId="187" fontId="5" fillId="0" borderId="2" xfId="1" applyNumberFormat="1" applyFont="1" applyFill="1" applyBorder="1" applyAlignment="1">
      <alignment horizontal="center" vertical="center"/>
    </xf>
    <xf numFmtId="187" fontId="5" fillId="0" borderId="3" xfId="1" applyNumberFormat="1" applyFont="1" applyFill="1" applyBorder="1" applyAlignment="1">
      <alignment horizontal="center" vertical="center"/>
    </xf>
    <xf numFmtId="187" fontId="5" fillId="0" borderId="4" xfId="1" applyNumberFormat="1" applyFont="1" applyFill="1" applyBorder="1" applyAlignment="1">
      <alignment horizontal="center" vertical="center"/>
    </xf>
    <xf numFmtId="14" fontId="5" fillId="0" borderId="2" xfId="1" applyNumberFormat="1" applyFont="1" applyBorder="1" applyAlignment="1">
      <alignment horizontal="center" vertical="center"/>
    </xf>
    <xf numFmtId="14" fontId="5" fillId="0" borderId="3" xfId="1" applyNumberFormat="1" applyFont="1" applyBorder="1" applyAlignment="1">
      <alignment horizontal="center" vertical="center"/>
    </xf>
    <xf numFmtId="14" fontId="5" fillId="0" borderId="4" xfId="1" applyNumberFormat="1" applyFont="1" applyBorder="1" applyAlignment="1">
      <alignment horizontal="center" vertical="center"/>
    </xf>
    <xf numFmtId="41" fontId="5" fillId="0" borderId="6" xfId="1" applyFont="1" applyBorder="1" applyAlignment="1">
      <alignment horizontal="left" vertical="center" wrapText="1"/>
    </xf>
    <xf numFmtId="41" fontId="5" fillId="0" borderId="7" xfId="1" applyFont="1" applyBorder="1" applyAlignment="1">
      <alignment horizontal="left" vertical="center" wrapText="1"/>
    </xf>
    <xf numFmtId="41" fontId="5" fillId="0" borderId="8" xfId="1" applyFont="1" applyBorder="1" applyAlignment="1">
      <alignment horizontal="left" vertical="center" wrapText="1"/>
    </xf>
    <xf numFmtId="41" fontId="5" fillId="0" borderId="9" xfId="1" applyFont="1" applyBorder="1" applyAlignment="1">
      <alignment horizontal="left" vertical="center" wrapText="1"/>
    </xf>
    <xf numFmtId="41" fontId="5" fillId="0" borderId="10" xfId="1" applyFont="1" applyBorder="1" applyAlignment="1">
      <alignment horizontal="left" vertical="center" wrapText="1"/>
    </xf>
    <xf numFmtId="41" fontId="5" fillId="0" borderId="11" xfId="1" applyFont="1" applyBorder="1" applyAlignment="1">
      <alignment horizontal="left" vertical="center" wrapText="1"/>
    </xf>
    <xf numFmtId="14" fontId="34" fillId="0" borderId="2" xfId="1" applyNumberFormat="1" applyFont="1" applyBorder="1" applyAlignment="1">
      <alignment horizontal="center" vertical="center"/>
    </xf>
    <xf numFmtId="14" fontId="34" fillId="0" borderId="3" xfId="1" applyNumberFormat="1" applyFont="1" applyBorder="1" applyAlignment="1">
      <alignment horizontal="center" vertical="center"/>
    </xf>
    <xf numFmtId="14" fontId="34" fillId="0" borderId="4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87" fontId="34" fillId="0" borderId="2" xfId="1" applyNumberFormat="1" applyFont="1" applyBorder="1" applyAlignment="1">
      <alignment horizontal="center" vertical="center"/>
    </xf>
    <xf numFmtId="187" fontId="34" fillId="0" borderId="4" xfId="1" applyNumberFormat="1" applyFont="1" applyBorder="1" applyAlignment="1">
      <alignment horizontal="center" vertical="center"/>
    </xf>
    <xf numFmtId="41" fontId="34" fillId="0" borderId="2" xfId="1" applyFont="1" applyBorder="1" applyAlignment="1">
      <alignment horizontal="center" vertical="center"/>
    </xf>
    <xf numFmtId="41" fontId="34" fillId="0" borderId="3" xfId="1" applyFont="1" applyBorder="1" applyAlignment="1">
      <alignment horizontal="center" vertical="center"/>
    </xf>
    <xf numFmtId="41" fontId="34" fillId="0" borderId="4" xfId="1" applyFont="1" applyBorder="1" applyAlignment="1">
      <alignment horizontal="center" vertical="center"/>
    </xf>
    <xf numFmtId="41" fontId="5" fillId="0" borderId="6" xfId="1" applyFont="1" applyBorder="1" applyAlignment="1">
      <alignment horizontal="center" wrapText="1"/>
    </xf>
    <xf numFmtId="41" fontId="5" fillId="0" borderId="7" xfId="1" applyFont="1" applyBorder="1" applyAlignment="1">
      <alignment horizontal="center" wrapText="1"/>
    </xf>
    <xf numFmtId="41" fontId="5" fillId="0" borderId="8" xfId="1" applyFont="1" applyBorder="1" applyAlignment="1">
      <alignment horizontal="center" wrapText="1"/>
    </xf>
    <xf numFmtId="41" fontId="5" fillId="0" borderId="9" xfId="1" applyFont="1" applyBorder="1" applyAlignment="1">
      <alignment horizontal="center" wrapText="1"/>
    </xf>
    <xf numFmtId="41" fontId="5" fillId="0" borderId="10" xfId="1" applyFont="1" applyBorder="1" applyAlignment="1">
      <alignment horizontal="center" wrapText="1"/>
    </xf>
    <xf numFmtId="41" fontId="5" fillId="0" borderId="11" xfId="1" applyFont="1" applyBorder="1" applyAlignment="1">
      <alignment horizontal="center" wrapText="1"/>
    </xf>
    <xf numFmtId="41" fontId="5" fillId="0" borderId="2" xfId="1" applyFont="1" applyBorder="1" applyAlignment="1">
      <alignment horizontal="center" vertical="center" wrapText="1"/>
    </xf>
    <xf numFmtId="41" fontId="5" fillId="0" borderId="3" xfId="1" applyFont="1" applyBorder="1" applyAlignment="1">
      <alignment horizontal="center" vertical="center" wrapText="1"/>
    </xf>
    <xf numFmtId="41" fontId="5" fillId="0" borderId="4" xfId="1" applyFont="1" applyBorder="1" applyAlignment="1">
      <alignment horizontal="center" vertical="center" wrapText="1"/>
    </xf>
    <xf numFmtId="41" fontId="37" fillId="0" borderId="2" xfId="1" applyFont="1" applyBorder="1" applyAlignment="1">
      <alignment horizontal="center" vertical="center" wrapText="1"/>
    </xf>
    <xf numFmtId="41" fontId="37" fillId="0" borderId="3" xfId="1" applyFont="1" applyBorder="1" applyAlignment="1">
      <alignment horizontal="center" vertical="center" wrapText="1"/>
    </xf>
    <xf numFmtId="41" fontId="37" fillId="0" borderId="4" xfId="1" applyFont="1" applyBorder="1" applyAlignment="1">
      <alignment horizontal="center" vertical="center" wrapText="1"/>
    </xf>
    <xf numFmtId="41" fontId="5" fillId="14" borderId="2" xfId="1" applyFont="1" applyFill="1" applyBorder="1" applyAlignment="1">
      <alignment horizontal="center" vertical="center"/>
    </xf>
    <xf numFmtId="41" fontId="5" fillId="14" borderId="4" xfId="1" applyFont="1" applyFill="1" applyBorder="1" applyAlignment="1">
      <alignment horizontal="center" vertical="center"/>
    </xf>
    <xf numFmtId="186" fontId="4" fillId="0" borderId="2" xfId="1" applyNumberFormat="1" applyFont="1" applyBorder="1" applyAlignment="1">
      <alignment horizontal="center" vertical="center"/>
    </xf>
    <xf numFmtId="186" fontId="4" fillId="0" borderId="3" xfId="1" applyNumberFormat="1" applyFont="1" applyBorder="1" applyAlignment="1">
      <alignment horizontal="center" vertical="center"/>
    </xf>
    <xf numFmtId="186" fontId="4" fillId="0" borderId="4" xfId="1" applyNumberFormat="1" applyFont="1" applyBorder="1" applyAlignment="1">
      <alignment horizontal="center" vertical="center"/>
    </xf>
    <xf numFmtId="186" fontId="4" fillId="0" borderId="2" xfId="1" applyNumberFormat="1" applyFont="1" applyFill="1" applyBorder="1" applyAlignment="1">
      <alignment horizontal="center" vertical="center"/>
    </xf>
    <xf numFmtId="186" fontId="4" fillId="0" borderId="4" xfId="1" applyNumberFormat="1" applyFont="1" applyFill="1" applyBorder="1" applyAlignment="1">
      <alignment horizontal="center" vertical="center"/>
    </xf>
    <xf numFmtId="186" fontId="4" fillId="0" borderId="3" xfId="1" applyNumberFormat="1" applyFont="1" applyFill="1" applyBorder="1" applyAlignment="1">
      <alignment horizontal="center" vertical="center"/>
    </xf>
    <xf numFmtId="41" fontId="5" fillId="0" borderId="2" xfId="1" applyFont="1" applyBorder="1" applyAlignment="1">
      <alignment horizontal="left" vertical="center"/>
    </xf>
    <xf numFmtId="41" fontId="5" fillId="0" borderId="4" xfId="1" applyFont="1" applyBorder="1" applyAlignment="1">
      <alignment horizontal="left" vertical="center"/>
    </xf>
    <xf numFmtId="187" fontId="4" fillId="0" borderId="2" xfId="1" applyNumberFormat="1" applyFont="1" applyBorder="1" applyAlignment="1">
      <alignment horizontal="center" vertical="center"/>
    </xf>
    <xf numFmtId="187" fontId="4" fillId="0" borderId="4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right" vertical="center"/>
    </xf>
    <xf numFmtId="0" fontId="16" fillId="0" borderId="4" xfId="0" applyFont="1" applyBorder="1" applyAlignment="1">
      <alignment horizontal="right" vertical="center"/>
    </xf>
    <xf numFmtId="0" fontId="32" fillId="6" borderId="2" xfId="118" applyFont="1" applyFill="1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13" borderId="2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</cellXfs>
  <cellStyles count="4809">
    <cellStyle name="-" xfId="126" xr:uid="{609BF28A-360D-4954-8939-D592D88261E5}"/>
    <cellStyle name="—" xfId="127" xr:uid="{D09885F6-70EF-4F2E-8023-2C455ED16CD3}"/>
    <cellStyle name="$" xfId="128" xr:uid="{1F3AABB0-9144-4888-A36A-643A52342BF8}"/>
    <cellStyle name="$0" xfId="129" xr:uid="{D3E52696-A436-4198-8142-D64AD80D93F4}"/>
    <cellStyle name="$1" xfId="130" xr:uid="{AD881F41-A03C-4313-806D-510641329B39}"/>
    <cellStyle name="$2" xfId="131" xr:uid="{EF0927E3-DF59-430D-B507-15AA53D65544}"/>
    <cellStyle name="%" xfId="132" xr:uid="{2ED369B4-DE3A-4F40-B141-70D89319636E}"/>
    <cellStyle name="%0" xfId="133" xr:uid="{BD45AA8C-2C26-4C9B-A411-EAEE2A52B4BC}"/>
    <cellStyle name="%1" xfId="134" xr:uid="{19D19E94-270B-4A08-BAE3-892A0D5F38AA}"/>
    <cellStyle name="%2" xfId="135" xr:uid="{654C786E-0CB4-45FC-902F-9167DF22B066}"/>
    <cellStyle name="(1,000)" xfId="136" xr:uid="{A1F1DD3A-3401-4967-8886-BA648D0E5C35}"/>
    <cellStyle name="(1,000)x" xfId="137" xr:uid="{43154D5A-42C7-4770-A119-F306E49E3282}"/>
    <cellStyle name=";;;" xfId="138" xr:uid="{7761B758-37C1-4C76-BD67-0B61EB6ADA65}"/>
    <cellStyle name="??" xfId="139" xr:uid="{1574B744-1B7F-4511-9D24-7DECEEE40AB2}"/>
    <cellStyle name="?? [0.00]_Analysis of Loans" xfId="140" xr:uid="{11DA6420-3C49-40DE-A0DE-002E916FE533}"/>
    <cellStyle name="?? [0]_Template format" xfId="141" xr:uid="{9D5AE8C5-3AC0-4539-B286-D04303E18B29}"/>
    <cellStyle name="???" xfId="3585" xr:uid="{E761F182-163A-4CF6-932B-07FE778E3E92}"/>
    <cellStyle name="???? [0.00]_Analysis of Loans" xfId="142" xr:uid="{8C8C2000-D4C2-4F73-8C2B-CAEC74024D3B}"/>
    <cellStyle name="????_Analysis of Loans" xfId="143" xr:uid="{90813B02-C425-4459-A938-F0340DCC04FA}"/>
    <cellStyle name="??_????????" xfId="144" xr:uid="{DA20459D-FDD5-4CDF-A237-74ECF6050633}"/>
    <cellStyle name="?鹎%U龡&amp;H?_x0008__x001c__x001c_?_x0007__x0001__x0001_" xfId="4036" xr:uid="{E1D53B85-52AE-4A11-B82D-FC525A66345D}"/>
    <cellStyle name="@_text" xfId="145" xr:uid="{D5CAF1E7-9FD8-44B2-877F-55A8CC45FD64}"/>
    <cellStyle name="_      07-09  5-4-2006 (circulated)" xfId="172" xr:uid="{10E17C09-E8CB-4765-848A-07CCD9AF7677}"/>
    <cellStyle name="_%(SignOnly)" xfId="173" xr:uid="{32E02ADE-E044-4E4C-B1E8-C2CF33B341F2}"/>
    <cellStyle name="_%(SignSpaceOnly)" xfId="174" xr:uid="{8C7FA080-436E-46F4-BB64-D8D99D323DA8}"/>
    <cellStyle name="_2006-O++¦++ñ-p+˜¦f060315" xfId="175" xr:uid="{43A5CC21-8DFD-4AE3-ACBB-AA4570C8EE19}"/>
    <cellStyle name="_2006年季度预算主表060315" xfId="176" xr:uid="{98225C5E-CAF6-4635-B5A2-28A8A2B3339C}"/>
    <cellStyle name="_2007-O++¦++ñ-p+˜¦f" xfId="177" xr:uid="{45B6D887-54B2-4D33-B6BA-21FF5E3F1023}"/>
    <cellStyle name="_2008-2009     060413(adjusted-sent) (10)" xfId="178" xr:uid="{CBC1C028-DB3F-4AAA-BDEB-8DDD70FC46FE}"/>
    <cellStyle name="_2008-2009-O+ñ-p+˜¦f060322" xfId="179" xr:uid="{D0029908-E2CA-48F8-88FA-0DC3CDB62330}"/>
    <cellStyle name="_2008-2009年预算主表060322" xfId="180" xr:uid="{992FFD6B-B9AF-41B5-B2F0-23D5E3A0EE9B}"/>
    <cellStyle name="_67 SORED Valuation_20070411" xfId="181" xr:uid="{9417C195-3C40-43A9-B2EF-6A9390C58CBC}"/>
    <cellStyle name="_Adjusted Cash Balance for Hard__ Asset-20091031" xfId="182" xr:uid="{8680F0E8-61DA-4F2E-89BD-A08E95195D0D}"/>
    <cellStyle name="_Buhler TY070706(王)" xfId="3586" xr:uid="{97B64CAE-D516-4403-8C30-C1A482CB3593}"/>
    <cellStyle name="_Cash Flow Forecast_200804" xfId="3587" xr:uid="{BDA1BC48-1BB3-4027-B05C-07A745B65FAE}"/>
    <cellStyle name="_Comma" xfId="183" xr:uid="{5B43F800-54E2-44CD-AE74-F8E641EF3193}"/>
    <cellStyle name="_Comma 2" xfId="3588" xr:uid="{CFBE3E35-7526-4E18-90AA-A7C102736753}"/>
    <cellStyle name="_Comma_060224_Pearlshell_DCF_Prelim" xfId="184" xr:uid="{A2C30D9D-66CE-4E5F-B815-684B0D0B55C5}"/>
    <cellStyle name="_Comma_060225_Pearlshell_DCF_Prelim_V4" xfId="185" xr:uid="{AE2FEBAC-732A-436D-AA5B-637B64CA370C}"/>
    <cellStyle name="_Comma_beta" xfId="186" xr:uid="{50D7E789-2113-4A71-B5D2-105E35F808CD}"/>
    <cellStyle name="_Comma_dcf" xfId="187" xr:uid="{FE33D980-4F19-46D3-B97A-3C29D4FBD761}"/>
    <cellStyle name="_Comma_DCF Model_v7" xfId="188" xr:uid="{E4FACB40-1D3E-4F93-A9F4-22034F156646}"/>
    <cellStyle name="_Comma_DCF_050422" xfId="189" xr:uid="{2D459A8B-1C8B-4E86-947A-5994D8CB30B4}"/>
    <cellStyle name="_Comma_DCF_handout_WACC_calc exercise - no answer" xfId="190" xr:uid="{878AA0B7-0CB2-46E5-96BB-56F6EA74AE2C}"/>
    <cellStyle name="_Comma_Financial Model_v13" xfId="191" xr:uid="{0AE79A4B-5CDE-4964-9B98-69DCFBA343D7}"/>
    <cellStyle name="_Comma_fund model 5" xfId="192" xr:uid="{CA5E5E4C-9A85-4C02-9F06-DCD3501109FB}"/>
    <cellStyle name="_Comma_Mindray Medical Intl Ltd Consolidated" xfId="193" xr:uid="{682FC70F-9984-4071-9D47-8A3B91807C2F}"/>
    <cellStyle name="_Comma_Shanghai DCF 13_JV 70%_New B shares_playing 2" xfId="194" xr:uid="{15A9FA7E-1917-4BDA-BC19-BCB21668991F}"/>
    <cellStyle name="_Currency" xfId="195" xr:uid="{D455EBC0-1AB4-4CE6-AE48-F53D8E61164C}"/>
    <cellStyle name="_Currency 2" xfId="3589" xr:uid="{85161F85-6DC9-4F82-97AD-BD6AB7818B8B}"/>
    <cellStyle name="_Currency_060224_Pearlshell_DCF_Prelim" xfId="196" xr:uid="{923C89F9-2247-4653-8DC2-17C376D15046}"/>
    <cellStyle name="_Currency_060225_Pearlshell_DCF_Prelim_V4" xfId="197" xr:uid="{133DFAD6-FB16-47B1-A6EB-CC03327BB957}"/>
    <cellStyle name="_Currency_beta" xfId="198" xr:uid="{4E15D727-8C9E-4CB0-AB83-BF4DAA768398}"/>
    <cellStyle name="_Currency_dcf" xfId="199" xr:uid="{FB674FCF-7CA5-4EF4-94FE-A02AAA56D6F3}"/>
    <cellStyle name="_Currency_DCF Model_v7" xfId="200" xr:uid="{8C180388-3525-4588-861C-EDA4554641F1}"/>
    <cellStyle name="_Currency_DCF_050422" xfId="201" xr:uid="{29DEBE5D-26CE-44F5-A0B1-6913D82F0756}"/>
    <cellStyle name="_Currency_DCF_handout_WACC_calc exercise - no answer" xfId="202" xr:uid="{BBEAA91E-EF46-4604-928A-FA1623D7D832}"/>
    <cellStyle name="_Currency_Financial Model_v13" xfId="203" xr:uid="{4E9559E0-C751-4367-8A7B-4002132FA897}"/>
    <cellStyle name="_Currency_fund model 5" xfId="204" xr:uid="{9F72F1DC-A6C1-41B0-9142-7B2FCAB8CC44}"/>
    <cellStyle name="_Currency_Mindray Medical Intl Ltd Consolidated" xfId="205" xr:uid="{937BE3EC-9D95-4EE9-80F0-737E392DEC73}"/>
    <cellStyle name="_Currency_MobilTel Matav model 18 June 2003 v1 NEW Emilie" xfId="206" xr:uid="{4AA41F11-EC6B-4A33-904C-D08027909FAE}"/>
    <cellStyle name="_Currency_Shanghai DCF 13_JV 70%_New B shares_playing 2" xfId="207" xr:uid="{9E7D9F0D-0805-4F38-B98F-EE08320EB6A0}"/>
    <cellStyle name="_Currency_WACC Analysis" xfId="208" xr:uid="{6B5C155E-3DF9-44BF-A23A-8DEF38942275}"/>
    <cellStyle name="_Currency_WACC_template" xfId="209" xr:uid="{775136B1-52EE-4F77-9D43-19B0C81DFBFF}"/>
    <cellStyle name="_CurrencySpace" xfId="210" xr:uid="{AF1B1083-4F4C-43BE-BFD6-7A2F319DFBD8}"/>
    <cellStyle name="_CurrencySpace 2" xfId="3590" xr:uid="{2EAC9A43-F371-41D0-B32F-78BAA4EF304A}"/>
    <cellStyle name="_CurrencySpace_060224_Pearlshell_DCF_Prelim" xfId="211" xr:uid="{D25C1012-E3FD-4697-A3C7-750E3356D52F}"/>
    <cellStyle name="_CurrencySpace_060225_Pearlshell_DCF_Prelim_V4" xfId="212" xr:uid="{947046D8-37E4-4E02-AFC4-FBC59D21B6C9}"/>
    <cellStyle name="_CurrencySpace_Abacus DCF 0809" xfId="213" xr:uid="{096481C2-0BC4-4944-B79C-E3374D221B90}"/>
    <cellStyle name="_CurrencySpace_avp" xfId="214" xr:uid="{E28607F6-57CE-4FAE-A9DC-4A6F27BE1D26}"/>
    <cellStyle name="_CurrencySpace_beta" xfId="215" xr:uid="{6595F33A-534E-4662-8ECE-D28AFBD50956}"/>
    <cellStyle name="_CurrencySpace_dcf" xfId="216" xr:uid="{40EFF7CC-365F-47DE-A160-81EBAF02FBAC}"/>
    <cellStyle name="_CurrencySpace_DCF Model_v7" xfId="217" xr:uid="{61998200-5228-49EF-871D-2DBFD8937663}"/>
    <cellStyle name="_CurrencySpace_DCF_050422" xfId="218" xr:uid="{57CBEC90-B7B1-49CE-8077-C72ECF041852}"/>
    <cellStyle name="_CurrencySpace_DCF_handout_WACC_calc exercise - no answer" xfId="219" xr:uid="{9B637851-5A54-4B32-A7AD-6B79B7A9CC91}"/>
    <cellStyle name="_CurrencySpace_Financial Model_v13" xfId="220" xr:uid="{BD558CED-25BC-49A9-A7CC-62609D074758}"/>
    <cellStyle name="_CurrencySpace_fund model 5" xfId="221" xr:uid="{E9955A81-A3E0-4D10-BFB1-2406E774D7F5}"/>
    <cellStyle name="_CurrencySpace_integrated_standalone" xfId="222" xr:uid="{A760769A-4BAB-45FD-927F-083138E35E5D}"/>
    <cellStyle name="_CurrencySpace_Mindray Medical Intl Ltd Consolidated" xfId="223" xr:uid="{1BC825D3-4022-4F57-B26E-7235E6651891}"/>
    <cellStyle name="_CurrencySpace_Shanghai DCF 13_JV 70%_New B shares_playing 2" xfId="224" xr:uid="{D3BC94E2-AB6C-45F5-843D-D32F1E682E1F}"/>
    <cellStyle name="_ET_STYLE_NoName_00_" xfId="225" xr:uid="{49555FA9-5E48-4BB6-838F-DEAD6F56865D}"/>
    <cellStyle name="_ET_STYLE_NoName_00__广州人和投资者台帐_Final" xfId="226" xr:uid="{E15F3CF9-FAF4-4006-890E-B6083E61379D}"/>
    <cellStyle name="_ET_STYLE_NoName_00__广州人和投资者台帐_公司确认" xfId="227" xr:uid="{AAF9F533-0540-4076-893F-BBE7A009A199}"/>
    <cellStyle name="_Euro" xfId="228" xr:uid="{3704BC79-E5D6-4D3D-83D0-460B222D2D23}"/>
    <cellStyle name="_Euro_070201_Blog_Model v12" xfId="229" xr:uid="{0F2ED7A3-3B90-4CBE-9CED-832B74EB46B5}"/>
    <cellStyle name="_Euro_11_26  Project Homerun Model v4_NAV" xfId="230" xr:uid="{810E601A-2B42-4B2F-A7B9-F9DE374BB275}"/>
    <cellStyle name="_Euro_beta" xfId="231" xr:uid="{8C9D5218-002A-45BF-8489-C60BDDF5596C}"/>
    <cellStyle name="_Euro_Input Sheet_v2" xfId="232" xr:uid="{217068E4-5DB7-4267-A791-6920387B325D}"/>
    <cellStyle name="_Euro_Project Sunflower v26_CommCommFinal_(print)" xfId="233" xr:uid="{146FD7A4-AC22-4B17-959E-C9366DF4C45F}"/>
    <cellStyle name="_Euro_Shanghai DCF 13_JV 70%_New B shares_playing 2" xfId="234" xr:uid="{6FA34078-5C90-4923-BCAD-3D1050597BC1}"/>
    <cellStyle name="_Euro_Shimao Valuation Model_v49_BH_Comm Comm_v5" xfId="235" xr:uid="{31E222D7-0B19-4205-857D-F0D35BE4E133}"/>
    <cellStyle name="_Euro_Sinochem DCF version 15" xfId="236" xr:uid="{3B560B1E-F426-4A0C-AA69-9294D64E8A71}"/>
    <cellStyle name="_Euro_test_PF_Rightway Model_v6_2" xfId="237" xr:uid="{9D336A12-FB42-40CC-851E-B04D8247F28C}"/>
    <cellStyle name="_Heading" xfId="238" xr:uid="{A3871711-BCD1-4F6B-85A9-FF316216656E}"/>
    <cellStyle name="_Heading_060224_Pearlshell_DCF_Prelim" xfId="239" xr:uid="{BD582DA9-2004-49C0-BE32-9D23700BCFC2}"/>
    <cellStyle name="_Heading_060224_Pearlshell_DCF_Prelim_LVGEM project inputs" xfId="240" xr:uid="{B05E3CB6-6D23-47D1-BB42-F87F33DE02A1}"/>
    <cellStyle name="_Heading_060224_Pearlshell_DCF_Prelim_pelican" xfId="241" xr:uid="{81CD7905-A362-4E22-BB54-41EBB72FDB51}"/>
    <cellStyle name="_Heading_060224_Pearlshell_DCF_Prelim_Pelican - Profit Forecast 3Aug07" xfId="242" xr:uid="{4BD439C7-C1D5-44EF-831F-FC7D1863DC33}"/>
    <cellStyle name="_Heading_060224_Pearlshell_DCF_Prelim_Pelican - Profit Forecast template 11July07_chi" xfId="243" xr:uid="{66E1CD54-5273-4430-ACB7-E758452A8D72}"/>
    <cellStyle name="_Heading_060224_Pearlshell_DCF_Prelim_Pelican - Profit Forecast template 29July07" xfId="244" xr:uid="{931D4EAF-B0FC-4C68-88D6-5D3F31486C8F}"/>
    <cellStyle name="_Heading_060224_Pearlshell_DCF_Prelim_Pelican - Profit Forecast template 30July07" xfId="245" xr:uid="{9EE9D320-0387-4C55-8075-C5A986FEA7B3}"/>
    <cellStyle name="_Heading_060224_Pearlshell_DCF_Prelim_pelican.xls" xfId="246" xr:uid="{DF2FD53E-7F77-4854-B8BA-4C1FD3EDDAE4}"/>
    <cellStyle name="_Heading_060225_Pearlshell_DCF_Prelim_V4" xfId="247" xr:uid="{D746753E-0F96-477E-8E75-0515CB4360D6}"/>
    <cellStyle name="_Heading_060225_Pearlshell_DCF_Prelim_V4_LVGEM project inputs" xfId="248" xr:uid="{F7A48875-246A-4A75-8EFF-091EF43BB408}"/>
    <cellStyle name="_Heading_060225_Pearlshell_DCF_Prelim_V4_pelican" xfId="249" xr:uid="{5FE2D5A4-5F18-4DCD-B3BA-D0BCCDFA5E26}"/>
    <cellStyle name="_Heading_060225_Pearlshell_DCF_Prelim_V4_Pelican - Profit Forecast 3Aug07" xfId="250" xr:uid="{EC5BE864-8D01-48B7-A66C-FADE1439FF7E}"/>
    <cellStyle name="_Heading_060225_Pearlshell_DCF_Prelim_V4_Pelican - Profit Forecast template 11July07_chi" xfId="251" xr:uid="{CF222F64-8775-4C5F-AD2D-A33187385C63}"/>
    <cellStyle name="_Heading_060225_Pearlshell_DCF_Prelim_V4_Pelican - Profit Forecast template 29July07" xfId="252" xr:uid="{11EBE57E-18AA-44AC-ADBC-374FFEE749E5}"/>
    <cellStyle name="_Heading_060225_Pearlshell_DCF_Prelim_V4_Pelican - Profit Forecast template 30July07" xfId="253" xr:uid="{007FCB00-96E3-4A86-B14F-089D5D88BF83}"/>
    <cellStyle name="_Heading_060225_Pearlshell_DCF_Prelim_V4_pelican.xls" xfId="254" xr:uid="{AA134FAB-3029-431E-B443-1D8811940299}"/>
    <cellStyle name="_Heading_060225_Pearlshell_DCF_Prelim_V4_Project Sunflower v24" xfId="255" xr:uid="{B0CBC654-34A1-4A2F-AC74-72407ADD215C}"/>
    <cellStyle name="_Heading_060225_Pearlshell_DCF_Prelim_V4_Project Sunflower v24_LVGEM project inputs" xfId="256" xr:uid="{594A4E16-138D-467F-9835-ED632B5A2232}"/>
    <cellStyle name="_Heading_060225_Pearlshell_DCF_Prelim_V4_Project Sunflower v24_pelican" xfId="257" xr:uid="{042BD936-A5B3-486B-8B2E-66FEF3425A06}"/>
    <cellStyle name="_Heading_060225_Pearlshell_DCF_Prelim_V4_Project Sunflower v24_Pelican - Profit Forecast 3Aug07" xfId="258" xr:uid="{2583B1D2-3741-4488-863C-56D03CE211EA}"/>
    <cellStyle name="_Heading_060225_Pearlshell_DCF_Prelim_V4_Project Sunflower v24_Pelican - Profit Forecast template 11July07_chi" xfId="259" xr:uid="{3AF3CC48-9C19-4000-8EB5-8253252C3403}"/>
    <cellStyle name="_Heading_060225_Pearlshell_DCF_Prelim_V4_Project Sunflower v24_Pelican - Profit Forecast template 29July07" xfId="260" xr:uid="{DEBA46CF-A018-43DD-BDC4-8F5A65FA2027}"/>
    <cellStyle name="_Heading_060225_Pearlshell_DCF_Prelim_V4_Project Sunflower v24_Pelican - Profit Forecast template 30July07" xfId="261" xr:uid="{B29FDF86-BA9C-46D5-819A-9CD069BAFB30}"/>
    <cellStyle name="_Heading_060225_Pearlshell_DCF_Prelim_V4_Project Sunflower v24_pelican.xls" xfId="262" xr:uid="{41C32DE3-E2EF-4A17-8473-0726CA4CA87A}"/>
    <cellStyle name="_Heading_060225_Pearlshell_DCF_Prelim_V4_Project Sunflower v25" xfId="263" xr:uid="{3BC50C9C-A052-4660-BA69-BC3371D2AE2F}"/>
    <cellStyle name="_Heading_060225_Pearlshell_DCF_Prelim_V4_Project Sunflower v25_LVGEM project inputs" xfId="264" xr:uid="{A2324237-FF61-40F3-B23B-C7FBD4CE0191}"/>
    <cellStyle name="_Heading_060225_Pearlshell_DCF_Prelim_V4_Project Sunflower v25_pelican" xfId="265" xr:uid="{611D8312-3055-411C-BF86-3E3C786CA018}"/>
    <cellStyle name="_Heading_060225_Pearlshell_DCF_Prelim_V4_Project Sunflower v25_Pelican - Profit Forecast 3Aug07" xfId="266" xr:uid="{5FFBC921-2E03-4DDF-90B4-190217BE316D}"/>
    <cellStyle name="_Heading_060225_Pearlshell_DCF_Prelim_V4_Project Sunflower v25_Pelican - Profit Forecast template 11July07_chi" xfId="267" xr:uid="{9265A2D8-BFBD-4A4D-8F05-F217EB6BA548}"/>
    <cellStyle name="_Heading_060225_Pearlshell_DCF_Prelim_V4_Project Sunflower v25_Pelican - Profit Forecast template 29July07" xfId="268" xr:uid="{87D9CE3B-E47B-48E6-914F-4FD197F67C8E}"/>
    <cellStyle name="_Heading_060225_Pearlshell_DCF_Prelim_V4_Project Sunflower v25_Pelican - Profit Forecast template 30July07" xfId="269" xr:uid="{FE7926B8-78D0-4BDB-9917-45BFE6EC0CA1}"/>
    <cellStyle name="_Heading_060225_Pearlshell_DCF_Prelim_V4_Project Sunflower v25_pelican.xls" xfId="270" xr:uid="{CA17559E-F07D-4DF4-A896-F03B6DB6863E}"/>
    <cellStyle name="_Heading_070201_Blog_Model v12" xfId="271" xr:uid="{68EF1916-596D-4144-A9C7-48FFE61CEFCD}"/>
    <cellStyle name="_Heading_070201_Blog_Model v12_LVGEM project inputs" xfId="272" xr:uid="{27649172-DBBC-4EBA-B4AE-D1F090FDCD99}"/>
    <cellStyle name="_Heading_070201_Blog_Model v12_pelican" xfId="273" xr:uid="{A8966C8D-52D8-4A97-A55C-0EF3A866F54E}"/>
    <cellStyle name="_Heading_070201_Blog_Model v12_Pelican - Profit Forecast 3Aug07" xfId="274" xr:uid="{09CA80DC-D70C-4E38-BEC3-6B4EAD9FABAC}"/>
    <cellStyle name="_Heading_070201_Blog_Model v12_Pelican - Profit Forecast template 11July07_chi" xfId="275" xr:uid="{2B771EC7-D050-4F15-836E-1A6137D72B4F}"/>
    <cellStyle name="_Heading_070201_Blog_Model v12_Pelican - Profit Forecast template 29July07" xfId="276" xr:uid="{F5E7BFB1-3F33-410F-8F2E-4ACB3BD664B3}"/>
    <cellStyle name="_Heading_070201_Blog_Model v12_Pelican - Profit Forecast template 30July07" xfId="277" xr:uid="{4FBE7E7B-EC3E-4AB8-8D4D-7AA7214BCBB7}"/>
    <cellStyle name="_Heading_070201_Blog_Model v12_pelican.xls" xfId="278" xr:uid="{AF40F9C6-F6FA-4A46-9070-E20925194266}"/>
    <cellStyle name="_Heading_11_26  Project Homerun Model v4_NAV" xfId="279" xr:uid="{974FC995-9E5C-41EA-B4CA-69AA165DC094}"/>
    <cellStyle name="_Heading_11_26  Project Homerun Model v4_NAV_LVGEM project inputs" xfId="280" xr:uid="{6D0BB5D7-B067-436D-AF8A-4C34D5DE9297}"/>
    <cellStyle name="_Heading_11_26  Project Homerun Model v4_NAV_pelican" xfId="281" xr:uid="{69BC958E-E109-4FF3-8C39-089D075B9A32}"/>
    <cellStyle name="_Heading_11_26  Project Homerun Model v4_NAV_Pelican - Profit Forecast 3Aug07" xfId="282" xr:uid="{C24A8A7D-BA1C-4A26-A500-24B261B4C982}"/>
    <cellStyle name="_Heading_11_26  Project Homerun Model v4_NAV_Pelican - Profit Forecast template 11July07_chi" xfId="283" xr:uid="{D392D664-85E8-4EE5-9142-24D19F24533D}"/>
    <cellStyle name="_Heading_11_26  Project Homerun Model v4_NAV_Pelican - Profit Forecast template 29July07" xfId="284" xr:uid="{A3DF87DE-7591-4B71-A2BA-6DD6FBDDA2AF}"/>
    <cellStyle name="_Heading_11_26  Project Homerun Model v4_NAV_Pelican - Profit Forecast template 30July07" xfId="285" xr:uid="{D6F014AD-8D29-4FBF-A51B-6709DCB5CCD7}"/>
    <cellStyle name="_Heading_11_26  Project Homerun Model v4_NAV_pelican.xls" xfId="286" xr:uid="{6C7140B3-C4AC-4C22-BC3F-474E7C0976A8}"/>
    <cellStyle name="_Heading_avp" xfId="287" xr:uid="{5153F1D6-1E2E-4CD0-9B07-12F950EF53DF}"/>
    <cellStyle name="_Heading_avp_LVGEM project inputs" xfId="288" xr:uid="{45ED1E83-833D-48ED-B5DE-69C0276DB9E5}"/>
    <cellStyle name="_Heading_avp_pelican" xfId="289" xr:uid="{CF8638AB-C3E3-4249-A429-ABEA3FC5D740}"/>
    <cellStyle name="_Heading_avp_Pelican - Profit Forecast 3Aug07" xfId="290" xr:uid="{D637AE0A-2844-4E67-A77B-FBEF2018CA1E}"/>
    <cellStyle name="_Heading_avp_Pelican - Profit Forecast template 11July07_chi" xfId="291" xr:uid="{431B9176-48E9-4B64-8160-5A385DD50B16}"/>
    <cellStyle name="_Heading_avp_Pelican - Profit Forecast template 29July07" xfId="292" xr:uid="{00EF8323-AC7E-4071-A540-7564D0B43CD9}"/>
    <cellStyle name="_Heading_avp_Pelican - Profit Forecast template 30July07" xfId="293" xr:uid="{8CC4C030-19BE-4E6C-9D1C-B5BA18E651FC}"/>
    <cellStyle name="_Heading_avp_pelican.xls" xfId="294" xr:uid="{E81FCDB7-CB3E-4752-8F54-CC2B4E27CD99}"/>
    <cellStyle name="_Heading_beta" xfId="295" xr:uid="{880D8E69-9401-4E19-AE54-A18F59862390}"/>
    <cellStyle name="_Heading_beta_LVGEM project inputs" xfId="296" xr:uid="{A724572E-FBFC-47A2-B9AE-C2F19DB4C210}"/>
    <cellStyle name="_Heading_beta_pelican" xfId="297" xr:uid="{8C35B90C-4E6F-4CDF-962C-6640CA78C61E}"/>
    <cellStyle name="_Heading_beta_Pelican - Profit Forecast 3Aug07" xfId="298" xr:uid="{8D1F13B3-5868-4032-AF08-8592893941CD}"/>
    <cellStyle name="_Heading_beta_Pelican - Profit Forecast template 11July07_chi" xfId="299" xr:uid="{A42169BD-5969-4E9D-8664-E2F6DF13CDFD}"/>
    <cellStyle name="_Heading_beta_Pelican - Profit Forecast template 29July07" xfId="300" xr:uid="{239AC8DC-85C8-4797-BF4C-00F2307A0EA2}"/>
    <cellStyle name="_Heading_beta_Pelican - Profit Forecast template 30July07" xfId="301" xr:uid="{F3107C26-DD24-4F6D-9092-ED0C0590FC68}"/>
    <cellStyle name="_Heading_beta_pelican.xls" xfId="302" xr:uid="{5EAB38C7-5D88-42B1-AF60-8F392BA59B5E}"/>
    <cellStyle name="_Heading_beta_Project Sunflower v24" xfId="303" xr:uid="{2E244FE9-81EF-4182-AFD7-F606A5FC2322}"/>
    <cellStyle name="_Heading_beta_Project Sunflower v24_LVGEM project inputs" xfId="304" xr:uid="{366AE510-281C-474E-9CF3-0FF700269E1A}"/>
    <cellStyle name="_Heading_beta_Project Sunflower v24_pelican" xfId="305" xr:uid="{64280C6E-93A3-4114-ACA4-BBE1360D1F47}"/>
    <cellStyle name="_Heading_beta_Project Sunflower v24_Pelican - Profit Forecast 3Aug07" xfId="306" xr:uid="{EAE3A5C6-346F-4837-A8C6-8F85080030C2}"/>
    <cellStyle name="_Heading_beta_Project Sunflower v24_Pelican - Profit Forecast template 11July07_chi" xfId="307" xr:uid="{A8D46047-D429-4D19-BE61-A2559B8417BF}"/>
    <cellStyle name="_Heading_beta_Project Sunflower v24_Pelican - Profit Forecast template 29July07" xfId="308" xr:uid="{3C0245F9-B36C-424D-8077-ACD2559107C7}"/>
    <cellStyle name="_Heading_beta_Project Sunflower v24_Pelican - Profit Forecast template 30July07" xfId="309" xr:uid="{1933EBB8-1389-4287-8C2B-6D5541C05B59}"/>
    <cellStyle name="_Heading_beta_Project Sunflower v24_pelican.xls" xfId="310" xr:uid="{67147DB2-4CFE-429A-8066-BC75F5848FC2}"/>
    <cellStyle name="_Heading_beta_Project Sunflower v25" xfId="311" xr:uid="{830DFC0E-E6B4-4DB0-9218-6FAF0DA8F7F6}"/>
    <cellStyle name="_Heading_beta_Project Sunflower v25_LVGEM project inputs" xfId="312" xr:uid="{41C82942-01E9-400E-943E-6B520A0B95DC}"/>
    <cellStyle name="_Heading_beta_Project Sunflower v25_pelican" xfId="313" xr:uid="{55158C05-C79B-4931-A06A-188EF9A3DEBE}"/>
    <cellStyle name="_Heading_beta_Project Sunflower v25_Pelican - Profit Forecast 3Aug07" xfId="314" xr:uid="{05CA01D4-1E2A-405C-B6A7-6185FD39E075}"/>
    <cellStyle name="_Heading_beta_Project Sunflower v25_Pelican - Profit Forecast template 11July07_chi" xfId="315" xr:uid="{8DBE8FFA-B9E9-48D0-9603-FC537B0694EC}"/>
    <cellStyle name="_Heading_beta_Project Sunflower v25_Pelican - Profit Forecast template 29July07" xfId="316" xr:uid="{176DCA29-2475-4B95-B380-7137A99E66D5}"/>
    <cellStyle name="_Heading_beta_Project Sunflower v25_Pelican - Profit Forecast template 30July07" xfId="317" xr:uid="{23F90B76-9A08-4EEA-85CB-ABECCB7DA497}"/>
    <cellStyle name="_Heading_beta_Project Sunflower v25_pelican.xls" xfId="318" xr:uid="{4AE25CB3-6688-4506-9450-5B628DB11B54}"/>
    <cellStyle name="_Heading_Consolidated Statement of Changes in Equity" xfId="319" xr:uid="{C772A9F7-1D19-4F93-BC49-E971EFAA9A77}"/>
    <cellStyle name="_Heading_Consolidated Statement of Changes in Equity (2)" xfId="320" xr:uid="{ABBEFC0C-9663-4AA1-A1FA-C664E9B5BA88}"/>
    <cellStyle name="_Heading_Consolidated Statement of Changes in Equity (2)_LVGEM project inputs" xfId="321" xr:uid="{3628E25B-CFF6-46D0-B6DD-B246D83822BF}"/>
    <cellStyle name="_Heading_Consolidated Statement of Changes in Equity (2)_pelican" xfId="322" xr:uid="{C5B1E400-9AFE-40AE-998F-114E348B9788}"/>
    <cellStyle name="_Heading_Consolidated Statement of Changes in Equity (2)_Pelican - Profit Forecast 3Aug07" xfId="323" xr:uid="{9EDC3395-99FB-417E-B06E-1B2D6A552D51}"/>
    <cellStyle name="_Heading_Consolidated Statement of Changes in Equity (2)_Pelican - Profit Forecast template 11July07_chi" xfId="324" xr:uid="{4B300EAD-2B12-49D4-A844-2C175675E14F}"/>
    <cellStyle name="_Heading_Consolidated Statement of Changes in Equity (2)_Pelican - Profit Forecast template 29July07" xfId="325" xr:uid="{8FF86112-8D2D-4BB8-99FA-12AA4D0FBC45}"/>
    <cellStyle name="_Heading_Consolidated Statement of Changes in Equity (2)_Pelican - Profit Forecast template 30July07" xfId="326" xr:uid="{AEFF1247-A696-4E9C-A2EB-E7712F33BF1C}"/>
    <cellStyle name="_Heading_Consolidated Statement of Changes in Equity (2)_pelican.xls" xfId="327" xr:uid="{77138B63-7EE4-4B3E-B88B-D642C2DB7FA1}"/>
    <cellStyle name="_Heading_Consolidated Statement of Changes in Equity_LVGEM project inputs" xfId="328" xr:uid="{CA6CFD67-1D39-4756-BAFF-CEEDD6AE2E65}"/>
    <cellStyle name="_Heading_Consolidated Statement of Changes in Equity_pelican" xfId="329" xr:uid="{A83E24F8-A0A0-4A96-B00D-24A208AC0515}"/>
    <cellStyle name="_Heading_Consolidated Statement of Changes in Equity_Pelican - Profit Forecast 3Aug07" xfId="330" xr:uid="{62B0774A-1776-4605-A8E2-101DEC6E4A1D}"/>
    <cellStyle name="_Heading_Consolidated Statement of Changes in Equity_Pelican - Profit Forecast template 11July07_chi" xfId="331" xr:uid="{7670C831-42E6-4643-B6E0-193168231E95}"/>
    <cellStyle name="_Heading_Consolidated Statement of Changes in Equity_Pelican - Profit Forecast template 29July07" xfId="332" xr:uid="{0B3A6C14-101C-453A-BE22-5CF2F26EB098}"/>
    <cellStyle name="_Heading_Consolidated Statement of Changes in Equity_Pelican - Profit Forecast template 30July07" xfId="333" xr:uid="{8B8CE555-35FC-48A4-BD2F-BE83A7A270B4}"/>
    <cellStyle name="_Heading_Consolidated Statement of Changes in Equity_pelican.xls" xfId="334" xr:uid="{9089AE99-1291-4CE3-8F3E-866892865567}"/>
    <cellStyle name="_Heading_dcf" xfId="335" xr:uid="{F9979F52-FDED-4736-8C54-5EAE214A9036}"/>
    <cellStyle name="_Heading_DCF Model_v7" xfId="336" xr:uid="{386051AD-F83C-437F-BF19-A052535FB472}"/>
    <cellStyle name="_Heading_DCF Model_v7_LVGEM project inputs" xfId="337" xr:uid="{572B8BF0-910E-4CB1-A4B1-C92B771B47B7}"/>
    <cellStyle name="_Heading_DCF Model_v7_pelican" xfId="338" xr:uid="{4CD4B4F2-2BE4-493A-B445-ADCF06938084}"/>
    <cellStyle name="_Heading_DCF Model_v7_Pelican - Profit Forecast 3Aug07" xfId="339" xr:uid="{F8271355-9437-4007-A7DF-CD91C12994F8}"/>
    <cellStyle name="_Heading_DCF Model_v7_Pelican - Profit Forecast template 11July07_chi" xfId="340" xr:uid="{02C2611C-1D5E-491F-A59D-1EEF93BFEB15}"/>
    <cellStyle name="_Heading_DCF Model_v7_Pelican - Profit Forecast template 29July07" xfId="341" xr:uid="{73088E3B-1EC0-43C9-8AD4-C77CACD9CE36}"/>
    <cellStyle name="_Heading_DCF Model_v7_Pelican - Profit Forecast template 30July07" xfId="342" xr:uid="{5CE8EF9E-0D26-4D39-8D50-B3DEC20E74AB}"/>
    <cellStyle name="_Heading_DCF Model_v7_pelican.xls" xfId="343" xr:uid="{10559536-09C5-4160-ACBC-51E107C436FD}"/>
    <cellStyle name="_Heading_DCF Model_v7_Project Sunflower v24" xfId="344" xr:uid="{3BF19FD6-1F6D-4D97-B45E-EB5A672ED775}"/>
    <cellStyle name="_Heading_DCF Model_v7_Project Sunflower v24_LVGEM project inputs" xfId="345" xr:uid="{EF0BD8B2-DE8B-416D-B866-57830415A2D1}"/>
    <cellStyle name="_Heading_DCF Model_v7_Project Sunflower v24_pelican" xfId="346" xr:uid="{949D7D5C-859D-4DB0-9057-ABA69A3B8224}"/>
    <cellStyle name="_Heading_DCF Model_v7_Project Sunflower v24_Pelican - Profit Forecast 3Aug07" xfId="347" xr:uid="{0A28C012-0BBF-45A1-B848-795F3D2BA38F}"/>
    <cellStyle name="_Heading_DCF Model_v7_Project Sunflower v24_Pelican - Profit Forecast template 11July07_chi" xfId="348" xr:uid="{2B00ACA8-0036-4736-93C2-FB1382B75B8A}"/>
    <cellStyle name="_Heading_DCF Model_v7_Project Sunflower v24_Pelican - Profit Forecast template 29July07" xfId="349" xr:uid="{4ACB74CF-DE0E-4883-B86B-FCDB0E8543C8}"/>
    <cellStyle name="_Heading_DCF Model_v7_Project Sunflower v24_Pelican - Profit Forecast template 30July07" xfId="350" xr:uid="{78BE847F-550F-48CD-A5BD-DA4A904C698B}"/>
    <cellStyle name="_Heading_DCF Model_v7_Project Sunflower v24_pelican.xls" xfId="351" xr:uid="{1F992C63-7C62-4B25-BD28-6CCBAED8044B}"/>
    <cellStyle name="_Heading_DCF Model_v7_Project Sunflower v25" xfId="352" xr:uid="{A341DEBC-CEF6-440E-A010-021BA87E191E}"/>
    <cellStyle name="_Heading_DCF Model_v7_Project Sunflower v25_LVGEM project inputs" xfId="353" xr:uid="{821CAE4E-1B43-4109-B97F-B1505C7554C3}"/>
    <cellStyle name="_Heading_DCF Model_v7_Project Sunflower v25_pelican" xfId="354" xr:uid="{27D732D7-1875-4900-92E5-EC8413C01BC9}"/>
    <cellStyle name="_Heading_DCF Model_v7_Project Sunflower v25_Pelican - Profit Forecast 3Aug07" xfId="355" xr:uid="{8687F5EC-0A4B-4F80-BA5A-39B21C61F6C6}"/>
    <cellStyle name="_Heading_DCF Model_v7_Project Sunflower v25_Pelican - Profit Forecast template 11July07_chi" xfId="356" xr:uid="{F35559D5-275F-4C9A-8FBB-A616D1C90877}"/>
    <cellStyle name="_Heading_DCF Model_v7_Project Sunflower v25_Pelican - Profit Forecast template 29July07" xfId="357" xr:uid="{B1A5A914-47EF-434F-B86D-22EB9574FE04}"/>
    <cellStyle name="_Heading_DCF Model_v7_Project Sunflower v25_Pelican - Profit Forecast template 30July07" xfId="358" xr:uid="{EEFD18C4-8BA2-41E2-AC5D-194C306A6C81}"/>
    <cellStyle name="_Heading_DCF Model_v7_Project Sunflower v25_pelican.xls" xfId="359" xr:uid="{DE8CF9B3-FCE8-4005-8BC5-574372C8BB85}"/>
    <cellStyle name="_Heading_DCF_050422" xfId="360" xr:uid="{913C9AD0-8AC7-418A-8222-18E79509F104}"/>
    <cellStyle name="_Heading_DCF_050422_LVGEM project inputs" xfId="361" xr:uid="{384AFBF4-E829-4CD1-A6D4-FAE7387085FD}"/>
    <cellStyle name="_Heading_DCF_050422_pelican" xfId="362" xr:uid="{98405B9D-D1F5-4A72-8B62-4B146C38876B}"/>
    <cellStyle name="_Heading_DCF_050422_Pelican - Profit Forecast 3Aug07" xfId="363" xr:uid="{C304590F-8316-43DB-AEE8-039FC56F9B03}"/>
    <cellStyle name="_Heading_DCF_050422_Pelican - Profit Forecast template 11July07_chi" xfId="364" xr:uid="{BE11F249-2ADC-4C5D-AD06-00CF51F56E5D}"/>
    <cellStyle name="_Heading_DCF_050422_Pelican - Profit Forecast template 29July07" xfId="365" xr:uid="{5C215A70-75C4-42BF-B241-56B0ABF16D53}"/>
    <cellStyle name="_Heading_DCF_050422_Pelican - Profit Forecast template 30July07" xfId="366" xr:uid="{0235D908-255F-477C-AA30-829B6483AE6A}"/>
    <cellStyle name="_Heading_DCF_050422_pelican.xls" xfId="367" xr:uid="{0D1FB3C1-51C0-43ED-9FF1-C862B548FFF1}"/>
    <cellStyle name="_Heading_DCF_050422_Project Sunflower v24" xfId="368" xr:uid="{D0CB213B-57CD-4FC8-85D7-5B15CAA1AD46}"/>
    <cellStyle name="_Heading_DCF_050422_Project Sunflower v24_LVGEM project inputs" xfId="369" xr:uid="{77FB1DAF-ED0A-4E6D-BE77-65A4D07E8CB9}"/>
    <cellStyle name="_Heading_DCF_050422_Project Sunflower v24_pelican" xfId="370" xr:uid="{280707A2-D1CC-4CA0-B22D-AB3A1C4A4A61}"/>
    <cellStyle name="_Heading_DCF_050422_Project Sunflower v24_Pelican - Profit Forecast 3Aug07" xfId="371" xr:uid="{9DA53B41-C23F-44BC-B6F2-30E1F8B36D03}"/>
    <cellStyle name="_Heading_DCF_050422_Project Sunflower v24_Pelican - Profit Forecast template 11July07_chi" xfId="372" xr:uid="{7824821E-1094-479D-AC09-52C45AA7491F}"/>
    <cellStyle name="_Heading_DCF_050422_Project Sunflower v24_Pelican - Profit Forecast template 29July07" xfId="373" xr:uid="{8EDC401B-D0B0-4E93-875F-8D85077B31DD}"/>
    <cellStyle name="_Heading_DCF_050422_Project Sunflower v24_Pelican - Profit Forecast template 30July07" xfId="374" xr:uid="{2DF407F5-2468-4166-9C63-68812D612714}"/>
    <cellStyle name="_Heading_DCF_050422_Project Sunflower v24_pelican.xls" xfId="375" xr:uid="{061EB122-434C-4BE5-A7EA-4C4C427513B1}"/>
    <cellStyle name="_Heading_DCF_050422_Project Sunflower v25" xfId="376" xr:uid="{4438DFFB-6F96-44A6-B339-6AA59AAD5BD2}"/>
    <cellStyle name="_Heading_DCF_050422_Project Sunflower v25_LVGEM project inputs" xfId="377" xr:uid="{D5B8ED8F-9B6F-4435-B49E-F0EF92000852}"/>
    <cellStyle name="_Heading_DCF_050422_Project Sunflower v25_pelican" xfId="378" xr:uid="{DF764016-21BC-4DEF-A939-EE5CCC445FCE}"/>
    <cellStyle name="_Heading_DCF_050422_Project Sunflower v25_Pelican - Profit Forecast 3Aug07" xfId="379" xr:uid="{45AFC87E-FFD2-4ADF-9A33-B745ACF05834}"/>
    <cellStyle name="_Heading_DCF_050422_Project Sunflower v25_Pelican - Profit Forecast template 11July07_chi" xfId="380" xr:uid="{CA13E189-7486-43B6-8A99-811DFDE57C0F}"/>
    <cellStyle name="_Heading_DCF_050422_Project Sunflower v25_Pelican - Profit Forecast template 29July07" xfId="381" xr:uid="{51DDD0E5-FBB7-4492-A93B-98BA211B2E27}"/>
    <cellStyle name="_Heading_DCF_050422_Project Sunflower v25_Pelican - Profit Forecast template 30July07" xfId="382" xr:uid="{DF13A040-3E18-4B38-B9F7-1B975533BDE0}"/>
    <cellStyle name="_Heading_DCF_050422_Project Sunflower v25_pelican.xls" xfId="383" xr:uid="{2BE74171-EAB4-4AC7-B984-ED60648AA78F}"/>
    <cellStyle name="_Heading_dcf_LVGEM project inputs" xfId="384" xr:uid="{5BAA1137-1BEE-4316-84A2-425044055705}"/>
    <cellStyle name="_Heading_dcf_pelican" xfId="385" xr:uid="{1D50CBCD-8BD4-46E8-8B13-C714A16AF457}"/>
    <cellStyle name="_Heading_dcf_Pelican - Profit Forecast 3Aug07" xfId="386" xr:uid="{74588D24-34DA-4B3E-A7B4-AB5C1E4FDE65}"/>
    <cellStyle name="_Heading_dcf_Pelican - Profit Forecast template 11July07_chi" xfId="387" xr:uid="{35C10221-D442-4051-9467-FC4173AA33D2}"/>
    <cellStyle name="_Heading_dcf_Pelican - Profit Forecast template 29July07" xfId="388" xr:uid="{3E975D7F-09D3-4BB7-8E18-5C852F000891}"/>
    <cellStyle name="_Heading_dcf_Pelican - Profit Forecast template 30July07" xfId="389" xr:uid="{F6B53182-DDA1-449D-91C8-8B7CC7E9E0F6}"/>
    <cellStyle name="_Heading_dcf_pelican.xls" xfId="390" xr:uid="{5A840960-F91C-4DBF-85E0-6B5D4EE7847D}"/>
    <cellStyle name="_Heading_dcf_Project Sunflower v24" xfId="391" xr:uid="{3B943EFB-4700-49A6-94D8-3BF341787AF1}"/>
    <cellStyle name="_Heading_dcf_Project Sunflower v24_LVGEM project inputs" xfId="392" xr:uid="{70B89B61-7EB8-43BC-91D7-B075348F20E4}"/>
    <cellStyle name="_Heading_dcf_Project Sunflower v24_pelican" xfId="393" xr:uid="{3D60C280-E744-43C2-9E79-571077FE7BEE}"/>
    <cellStyle name="_Heading_dcf_Project Sunflower v24_Pelican - Profit Forecast 3Aug07" xfId="394" xr:uid="{2AF6A2E5-9009-486B-A3EA-914163462E74}"/>
    <cellStyle name="_Heading_dcf_Project Sunflower v24_Pelican - Profit Forecast template 11July07_chi" xfId="395" xr:uid="{D6263B86-44FA-4A4E-9AA5-318BCC7A4FEA}"/>
    <cellStyle name="_Heading_dcf_Project Sunflower v24_Pelican - Profit Forecast template 29July07" xfId="396" xr:uid="{E8E6EAF6-53F3-4754-A411-F37B9DA263C9}"/>
    <cellStyle name="_Heading_dcf_Project Sunflower v24_Pelican - Profit Forecast template 30July07" xfId="397" xr:uid="{4DC4B985-1304-4F0F-B0DA-4EB2FA410006}"/>
    <cellStyle name="_Heading_dcf_Project Sunflower v24_pelican.xls" xfId="398" xr:uid="{28AED54D-2814-48A8-9050-51A0B2EA9889}"/>
    <cellStyle name="_Heading_dcf_Project Sunflower v25" xfId="399" xr:uid="{D18F9F6E-D96E-45E7-92CA-5BACFC038241}"/>
    <cellStyle name="_Heading_dcf_Project Sunflower v25_LVGEM project inputs" xfId="400" xr:uid="{84B5FEB4-6405-4D7B-A205-B0E522B2EF49}"/>
    <cellStyle name="_Heading_dcf_Project Sunflower v25_pelican" xfId="401" xr:uid="{8216FDAF-3C15-48FB-A7D7-4A192E6287FF}"/>
    <cellStyle name="_Heading_dcf_Project Sunflower v25_Pelican - Profit Forecast 3Aug07" xfId="402" xr:uid="{0BCA49C4-79BE-460A-8E4B-2C7CA837050E}"/>
    <cellStyle name="_Heading_dcf_Project Sunflower v25_Pelican - Profit Forecast template 11July07_chi" xfId="403" xr:uid="{1E69FD89-578D-449B-B045-BCFDE624E343}"/>
    <cellStyle name="_Heading_dcf_Project Sunflower v25_Pelican - Profit Forecast template 29July07" xfId="404" xr:uid="{CE088B5C-6DD1-49B6-BD5F-D2CAC1DAD6F3}"/>
    <cellStyle name="_Heading_dcf_Project Sunflower v25_Pelican - Profit Forecast template 30July07" xfId="405" xr:uid="{92524C40-BD81-4B38-8E8E-E38BD956C9AE}"/>
    <cellStyle name="_Heading_dcf_Project Sunflower v25_pelican.xls" xfId="406" xr:uid="{7411C2E0-5F1D-4E63-8D22-23B665A47AF9}"/>
    <cellStyle name="_Heading_Financial Model_v13" xfId="407" xr:uid="{5993F84C-0DA8-4F00-BCF4-64460C9CDEF3}"/>
    <cellStyle name="_Heading_Financial Model_v13_LVGEM project inputs" xfId="408" xr:uid="{3198A8E2-2015-42B1-B200-78B774C42AE4}"/>
    <cellStyle name="_Heading_Financial Model_v13_pelican" xfId="409" xr:uid="{4B1D8C4C-D63F-405B-AFA5-0B8049015FA6}"/>
    <cellStyle name="_Heading_Financial Model_v13_Pelican - Profit Forecast 3Aug07" xfId="410" xr:uid="{63C318C5-8BC2-4EC0-A86F-FF7709D252D4}"/>
    <cellStyle name="_Heading_Financial Model_v13_Pelican - Profit Forecast template 11July07_chi" xfId="411" xr:uid="{18166CD6-62A2-4567-AC5A-D6C093AEFF7C}"/>
    <cellStyle name="_Heading_Financial Model_v13_Pelican - Profit Forecast template 29July07" xfId="412" xr:uid="{E8113C88-CE0C-401F-89FF-C6037FC7166F}"/>
    <cellStyle name="_Heading_Financial Model_v13_Pelican - Profit Forecast template 30July07" xfId="413" xr:uid="{FDA0FBFD-F5C3-4809-9B9E-0210685EA0FA}"/>
    <cellStyle name="_Heading_Financial Model_v13_pelican.xls" xfId="414" xr:uid="{8224B23E-3A35-45E0-893A-AA54414352D2}"/>
    <cellStyle name="_Heading_fund model 5" xfId="415" xr:uid="{EE013539-289A-4BA7-984D-F1129DEC3DD6}"/>
    <cellStyle name="_Heading_fund model 5_LVGEM project inputs" xfId="416" xr:uid="{5087307E-0248-430D-A5BF-97446B8DBDCD}"/>
    <cellStyle name="_Heading_fund model 5_pelican" xfId="417" xr:uid="{06040455-7760-4469-AD2C-8B5DAD38CD3A}"/>
    <cellStyle name="_Heading_fund model 5_Pelican - Profit Forecast 3Aug07" xfId="418" xr:uid="{3F27EE43-168E-4B2E-BF8F-D3AF2AE74AC5}"/>
    <cellStyle name="_Heading_fund model 5_Pelican - Profit Forecast template 11July07_chi" xfId="419" xr:uid="{4DBBA8DE-B3CA-401E-B650-F4ABCA73F042}"/>
    <cellStyle name="_Heading_fund model 5_Pelican - Profit Forecast template 29July07" xfId="420" xr:uid="{CC51668A-76D1-4BB7-B5EA-BCB2BF37B52C}"/>
    <cellStyle name="_Heading_fund model 5_Pelican - Profit Forecast template 30July07" xfId="421" xr:uid="{5F3217DC-004D-4D2F-B52A-A2CE669AAF62}"/>
    <cellStyle name="_Heading_fund model 5_pelican.xls" xfId="422" xr:uid="{02731AFB-76CF-4B7A-A940-32CAB2D5F2EF}"/>
    <cellStyle name="_Heading_Mindray Medical Intl Ltd Consolidated" xfId="423" xr:uid="{24D2ADC4-7FD6-4BD3-ADEF-1A6CBE23A36A}"/>
    <cellStyle name="_Heading_Mindray Medical Intl Ltd Consolidated_LVGEM project inputs" xfId="424" xr:uid="{1C1859BA-9819-4AE4-958E-9BD82ADE87F3}"/>
    <cellStyle name="_Heading_Mindray Medical Intl Ltd Consolidated_pelican" xfId="425" xr:uid="{0C71680A-7F2D-481D-BA42-AB6BA9A65DB1}"/>
    <cellStyle name="_Heading_Mindray Medical Intl Ltd Consolidated_Pelican - Profit Forecast 3Aug07" xfId="426" xr:uid="{ACACEE7F-F924-46A7-9C95-4812A0DB08D7}"/>
    <cellStyle name="_Heading_Mindray Medical Intl Ltd Consolidated_Pelican - Profit Forecast template 11July07_chi" xfId="427" xr:uid="{28562C38-0209-4944-A159-79C2214B2F45}"/>
    <cellStyle name="_Heading_Mindray Medical Intl Ltd Consolidated_Pelican - Profit Forecast template 29July07" xfId="428" xr:uid="{CE751F8A-C0B6-420A-AC8E-806EFA60A814}"/>
    <cellStyle name="_Heading_Mindray Medical Intl Ltd Consolidated_Pelican - Profit Forecast template 30July07" xfId="429" xr:uid="{2A688477-C511-4B65-9CB2-B011BD3C8C40}"/>
    <cellStyle name="_Heading_Mindray Medical Intl Ltd Consolidated_pelican.xls" xfId="430" xr:uid="{22960C9C-FF10-4A54-B911-1D1D7C553297}"/>
    <cellStyle name="_Heading_Page no-115" xfId="431" xr:uid="{DA2107C8-2EAC-44BE-8F69-A9EB6D6E3B32}"/>
    <cellStyle name="_Heading_Page no-115_LVGEM project inputs" xfId="432" xr:uid="{8F3E40D0-3C20-4C3C-A016-A38B14BBB157}"/>
    <cellStyle name="_Heading_Page no-115_pelican" xfId="433" xr:uid="{08A91259-6A77-4B33-A275-89AA9D74165A}"/>
    <cellStyle name="_Heading_Page no-115_Pelican - Profit Forecast 3Aug07" xfId="434" xr:uid="{E6311569-3120-4B96-A7A9-C984F696AA88}"/>
    <cellStyle name="_Heading_Page no-115_Pelican - Profit Forecast template 11July07_chi" xfId="435" xr:uid="{970672C2-9490-4CC3-B507-29B776288AC0}"/>
    <cellStyle name="_Heading_Page no-115_Pelican - Profit Forecast template 29July07" xfId="436" xr:uid="{9EF9E8B0-BC9A-455F-A109-BC2B9D37416B}"/>
    <cellStyle name="_Heading_Page no-115_Pelican - Profit Forecast template 30July07" xfId="437" xr:uid="{33B79BFE-65A3-46EA-AEBB-6A2FBC839646}"/>
    <cellStyle name="_Heading_Page no-115_pelican.xls" xfId="438" xr:uid="{5A79260E-E5F3-4738-9917-B6F171DFB0DB}"/>
    <cellStyle name="_Heading_prestemp" xfId="439" xr:uid="{48390EAF-E35F-4A81-AA5E-404E81AB1271}"/>
    <cellStyle name="_Heading_prestemp_LVGEM project inputs" xfId="440" xr:uid="{758B4FEE-61D4-4D64-A761-F62154CA6814}"/>
    <cellStyle name="_Heading_prestemp_pelican" xfId="441" xr:uid="{9D3FFEF7-35B2-4869-BBD1-12F21F5FC01F}"/>
    <cellStyle name="_Heading_prestemp_Pelican - Profit Forecast 3Aug07" xfId="442" xr:uid="{15684057-0201-4435-A32A-ECC1A25533F8}"/>
    <cellStyle name="_Heading_prestemp_Pelican - Profit Forecast template 11July07_chi" xfId="443" xr:uid="{A6351C81-7321-42C8-B997-771664D0EB48}"/>
    <cellStyle name="_Heading_prestemp_Pelican - Profit Forecast template 29July07" xfId="444" xr:uid="{5C699402-0B7A-4D67-BEE0-81A1240D8F64}"/>
    <cellStyle name="_Heading_prestemp_Pelican - Profit Forecast template 30July07" xfId="445" xr:uid="{D67C4159-7F50-4D41-A20B-45E462FFC4A6}"/>
    <cellStyle name="_Heading_prestemp_pelican.xls" xfId="446" xr:uid="{10F468B4-A07E-4F32-A000-9791AD5ED312}"/>
    <cellStyle name="_Heading_prestemp_Project Sunflower v24" xfId="447" xr:uid="{9C0F2662-58FE-4810-A16F-CB107D5E131E}"/>
    <cellStyle name="_Heading_prestemp_Project Sunflower v24_LVGEM project inputs" xfId="448" xr:uid="{B83E16F7-43C6-4DE7-BD4D-66D36F4D068F}"/>
    <cellStyle name="_Heading_prestemp_Project Sunflower v24_pelican" xfId="449" xr:uid="{A9962A41-36E4-4D32-8AAC-896FCF7F6323}"/>
    <cellStyle name="_Heading_prestemp_Project Sunflower v24_Pelican - Profit Forecast 3Aug07" xfId="450" xr:uid="{966DFFE6-9045-4B31-9642-F346FCE8E081}"/>
    <cellStyle name="_Heading_prestemp_Project Sunflower v24_Pelican - Profit Forecast template 11July07_chi" xfId="451" xr:uid="{1BFBB2F9-317E-46B6-A7C7-DCD961F76E25}"/>
    <cellStyle name="_Heading_prestemp_Project Sunflower v24_Pelican - Profit Forecast template 29July07" xfId="452" xr:uid="{950207F3-9135-4ACA-AECD-7028C47496EA}"/>
    <cellStyle name="_Heading_prestemp_Project Sunflower v24_Pelican - Profit Forecast template 30July07" xfId="453" xr:uid="{5BBDC15B-D2F0-4608-BFCD-07FFE530E4C1}"/>
    <cellStyle name="_Heading_prestemp_Project Sunflower v24_pelican.xls" xfId="454" xr:uid="{3EE3B9EC-C3B8-46DD-8341-7566B5475261}"/>
    <cellStyle name="_Heading_prestemp_Project Sunflower v25" xfId="455" xr:uid="{C86EE226-9B31-4291-99EC-4E7DBB977684}"/>
    <cellStyle name="_Heading_prestemp_Project Sunflower v25_LVGEM project inputs" xfId="456" xr:uid="{BF9D5753-3A92-4238-8F9B-E28543631506}"/>
    <cellStyle name="_Heading_prestemp_Project Sunflower v25_pelican" xfId="457" xr:uid="{548961C4-56A5-46E8-8F71-C5A2A065FCD8}"/>
    <cellStyle name="_Heading_prestemp_Project Sunflower v25_Pelican - Profit Forecast 3Aug07" xfId="458" xr:uid="{6B75119F-C86A-4EA1-B1D2-DBB783EC65C8}"/>
    <cellStyle name="_Heading_prestemp_Project Sunflower v25_Pelican - Profit Forecast template 11July07_chi" xfId="459" xr:uid="{C1E9011C-A9F3-450B-BF8B-8A20BD170BBD}"/>
    <cellStyle name="_Heading_prestemp_Project Sunflower v25_Pelican - Profit Forecast template 29July07" xfId="460" xr:uid="{45FD47B5-12DB-4323-A511-81925CC3B783}"/>
    <cellStyle name="_Heading_prestemp_Project Sunflower v25_Pelican - Profit Forecast template 30July07" xfId="461" xr:uid="{E3FC34F2-FFA5-4993-BA8F-67862991A04B}"/>
    <cellStyle name="_Heading_prestemp_Project Sunflower v25_pelican.xls" xfId="462" xr:uid="{05BBF5DB-7D73-4FE6-93F1-10A258415DA4}"/>
    <cellStyle name="_Heading_prestemp_Shanghai DCF 09" xfId="463" xr:uid="{F2BBACAC-614D-4756-8AEA-5262CCE96E52}"/>
    <cellStyle name="_Heading_prestemp_Shanghai DCF 09_LVGEM project inputs" xfId="464" xr:uid="{9F55507D-3997-4EA0-BA90-4F8A5DDB5FEC}"/>
    <cellStyle name="_Heading_prestemp_Shanghai DCF 09_pelican" xfId="465" xr:uid="{E3AF7CCE-07E1-4EA7-A21A-ED766943EF5A}"/>
    <cellStyle name="_Heading_prestemp_Shanghai DCF 09_Pelican - Profit Forecast 3Aug07" xfId="466" xr:uid="{E88E29B1-0E6D-4052-A4D9-21F5E59A61E0}"/>
    <cellStyle name="_Heading_prestemp_Shanghai DCF 09_Pelican - Profit Forecast template 11July07_chi" xfId="467" xr:uid="{D8E86838-EFAA-47A2-A9B5-90D9718C7698}"/>
    <cellStyle name="_Heading_prestemp_Shanghai DCF 09_Pelican - Profit Forecast template 29July07" xfId="468" xr:uid="{28F8A375-9FA0-467B-B584-682942502E7B}"/>
    <cellStyle name="_Heading_prestemp_Shanghai DCF 09_Pelican - Profit Forecast template 30July07" xfId="469" xr:uid="{8B22754B-4DBB-4291-B059-DDD9806E2A44}"/>
    <cellStyle name="_Heading_prestemp_Shanghai DCF 09_pelican.xls" xfId="470" xr:uid="{019CD044-DB22-4072-8F21-FD8B85E17C0A}"/>
    <cellStyle name="_Heading_prestemp_Shanghai DCF 09_Project Sunflower v24" xfId="471" xr:uid="{13786504-A69B-4E10-99F0-D78250A40444}"/>
    <cellStyle name="_Heading_prestemp_Shanghai DCF 09_Project Sunflower v24_LVGEM project inputs" xfId="472" xr:uid="{DCDEEAAA-9274-48C3-91A9-C86050F68042}"/>
    <cellStyle name="_Heading_prestemp_Shanghai DCF 09_Project Sunflower v24_pelican" xfId="473" xr:uid="{002EEF9B-31C8-4A9E-896E-7EA6D9CAC9D7}"/>
    <cellStyle name="_Heading_prestemp_Shanghai DCF 09_Project Sunflower v24_Pelican - Profit Forecast 3Aug07" xfId="474" xr:uid="{5D8979A6-2CE4-4DB3-B7F3-8C927EB95F38}"/>
    <cellStyle name="_Heading_prestemp_Shanghai DCF 09_Project Sunflower v24_Pelican - Profit Forecast template 11July07_chi" xfId="475" xr:uid="{63E0D3AC-4E64-435F-A63C-224C3AC102DF}"/>
    <cellStyle name="_Heading_prestemp_Shanghai DCF 09_Project Sunflower v24_Pelican - Profit Forecast template 29July07" xfId="476" xr:uid="{518951A4-C750-483A-9556-0B1E5FA14D77}"/>
    <cellStyle name="_Heading_prestemp_Shanghai DCF 09_Project Sunflower v24_Pelican - Profit Forecast template 30July07" xfId="477" xr:uid="{8B10B237-09DC-40F1-8C89-C8246DEAE6EE}"/>
    <cellStyle name="_Heading_prestemp_Shanghai DCF 09_Project Sunflower v24_pelican.xls" xfId="478" xr:uid="{23AA987E-00D1-46F0-A1EB-41B3B142BE48}"/>
    <cellStyle name="_Heading_prestemp_Shanghai DCF 09_Project Sunflower v25" xfId="479" xr:uid="{B1EE5679-19AE-4D54-8ABA-9D79D8B7D2ED}"/>
    <cellStyle name="_Heading_prestemp_Shanghai DCF 09_Project Sunflower v25_LVGEM project inputs" xfId="480" xr:uid="{F3BDBB1E-28F1-4D50-9EE2-465DDBF5174D}"/>
    <cellStyle name="_Heading_prestemp_Shanghai DCF 09_Project Sunflower v25_pelican" xfId="481" xr:uid="{1CECE38E-DC5F-4004-8001-81649C210DC7}"/>
    <cellStyle name="_Heading_prestemp_Shanghai DCF 09_Project Sunflower v25_Pelican - Profit Forecast 3Aug07" xfId="482" xr:uid="{8F6628D3-0078-4E0D-8725-05E51E7BF3BE}"/>
    <cellStyle name="_Heading_prestemp_Shanghai DCF 09_Project Sunflower v25_Pelican - Profit Forecast template 11July07_chi" xfId="483" xr:uid="{97882647-D0F3-4780-8A07-CF0BCD0454F5}"/>
    <cellStyle name="_Heading_prestemp_Shanghai DCF 09_Project Sunflower v25_Pelican - Profit Forecast template 29July07" xfId="484" xr:uid="{5601C005-A54E-4A84-A6A5-1676F375325C}"/>
    <cellStyle name="_Heading_prestemp_Shanghai DCF 09_Project Sunflower v25_Pelican - Profit Forecast template 30July07" xfId="485" xr:uid="{C32ED609-0467-4FE2-AADB-76AF5A530BE1}"/>
    <cellStyle name="_Heading_prestemp_Shanghai DCF 09_Project Sunflower v25_pelican.xls" xfId="486" xr:uid="{6E3D7F48-4546-4A1F-9643-A030B246A0CD}"/>
    <cellStyle name="_Heading_prestemp_Shanghai DCF 12_70%_New B_Small JV" xfId="487" xr:uid="{6FA6D8CC-0AC6-4FC7-9FE0-BCF17FAF77DF}"/>
    <cellStyle name="_Heading_prestemp_Shanghai DCF 12_70%_New B_Small JV_LVGEM project inputs" xfId="488" xr:uid="{9AC0C1FA-CE79-4402-8A5C-23DCCA99E92B}"/>
    <cellStyle name="_Heading_prestemp_Shanghai DCF 12_70%_New B_Small JV_pelican" xfId="489" xr:uid="{E4B0A720-85DF-4EDA-A67D-F8BC95E348D6}"/>
    <cellStyle name="_Heading_prestemp_Shanghai DCF 12_70%_New B_Small JV_Pelican - Profit Forecast 3Aug07" xfId="490" xr:uid="{B7592A17-476D-42E6-9AAE-6C07437BDB24}"/>
    <cellStyle name="_Heading_prestemp_Shanghai DCF 12_70%_New B_Small JV_Pelican - Profit Forecast template 11July07_chi" xfId="491" xr:uid="{9DC1E3BD-4890-4CAD-8B49-CADDE33EB7FC}"/>
    <cellStyle name="_Heading_prestemp_Shanghai DCF 12_70%_New B_Small JV_Pelican - Profit Forecast template 29July07" xfId="492" xr:uid="{E6201BEE-B4B4-431A-9406-6ADB4EEE48DC}"/>
    <cellStyle name="_Heading_prestemp_Shanghai DCF 12_70%_New B_Small JV_Pelican - Profit Forecast template 30July07" xfId="493" xr:uid="{C40F0AE0-58E0-432D-824A-D2FEB9DB24C8}"/>
    <cellStyle name="_Heading_prestemp_Shanghai DCF 12_70%_New B_Small JV_pelican.xls" xfId="494" xr:uid="{E62F10AD-E932-4AFF-91B0-61C46F74D2AC}"/>
    <cellStyle name="_Heading_prestemp_Shanghai DCF 12_70%_New B_Small JV_Project Sunflower v24" xfId="495" xr:uid="{0FBC7124-4E59-4640-BC90-7CDCF442808A}"/>
    <cellStyle name="_Heading_prestemp_Shanghai DCF 12_70%_New B_Small JV_Project Sunflower v24_LVGEM project inputs" xfId="496" xr:uid="{F2E0F2B6-D153-4F54-865F-CA03FA262397}"/>
    <cellStyle name="_Heading_prestemp_Shanghai DCF 12_70%_New B_Small JV_Project Sunflower v24_pelican" xfId="497" xr:uid="{8C40FE2C-72E2-4055-B378-E20CF5765EF8}"/>
    <cellStyle name="_Heading_prestemp_Shanghai DCF 12_70%_New B_Small JV_Project Sunflower v24_Pelican - Profit Forecast 3Aug07" xfId="498" xr:uid="{33545EB2-1BD3-4BA5-B2C9-C1A025B0EF31}"/>
    <cellStyle name="_Heading_prestemp_Shanghai DCF 12_70%_New B_Small JV_Project Sunflower v24_Pelican - Profit Forecast template 11July07_chi" xfId="499" xr:uid="{71D9A5C8-ABCE-4361-8B91-12058933BB31}"/>
    <cellStyle name="_Heading_prestemp_Shanghai DCF 12_70%_New B_Small JV_Project Sunflower v24_Pelican - Profit Forecast template 29July07" xfId="500" xr:uid="{FC5AB809-8924-44C7-9DD8-EB262AFED8CA}"/>
    <cellStyle name="_Heading_prestemp_Shanghai DCF 12_70%_New B_Small JV_Project Sunflower v24_Pelican - Profit Forecast template 30July07" xfId="501" xr:uid="{55323E42-FBEA-4FBA-9432-8081E1393546}"/>
    <cellStyle name="_Heading_prestemp_Shanghai DCF 12_70%_New B_Small JV_Project Sunflower v24_pelican.xls" xfId="502" xr:uid="{502D4144-5938-4F53-ACB8-786584E98673}"/>
    <cellStyle name="_Heading_prestemp_Shanghai DCF 12_70%_New B_Small JV_Project Sunflower v25" xfId="503" xr:uid="{E8F34B3E-28D4-4F9D-B6E4-3F3FFC6DF688}"/>
    <cellStyle name="_Heading_prestemp_Shanghai DCF 12_70%_New B_Small JV_Project Sunflower v25_LVGEM project inputs" xfId="504" xr:uid="{5D92D19F-3FD1-4A72-9FCA-B615459FBC73}"/>
    <cellStyle name="_Heading_prestemp_Shanghai DCF 12_70%_New B_Small JV_Project Sunflower v25_pelican" xfId="505" xr:uid="{796B94C2-5307-4C01-A164-918174CB2E87}"/>
    <cellStyle name="_Heading_prestemp_Shanghai DCF 12_70%_New B_Small JV_Project Sunflower v25_Pelican - Profit Forecast 3Aug07" xfId="506" xr:uid="{1AE4BDF6-3D57-497C-BE2E-680C23C3C3DC}"/>
    <cellStyle name="_Heading_prestemp_Shanghai DCF 12_70%_New B_Small JV_Project Sunflower v25_Pelican - Profit Forecast template 11July07_chi" xfId="507" xr:uid="{6EDEB291-CE06-4A43-A646-8BCE9CEDAA2F}"/>
    <cellStyle name="_Heading_prestemp_Shanghai DCF 12_70%_New B_Small JV_Project Sunflower v25_Pelican - Profit Forecast template 29July07" xfId="508" xr:uid="{FA1D2505-7863-42F5-B4D4-1585872A9B89}"/>
    <cellStyle name="_Heading_prestemp_Shanghai DCF 12_70%_New B_Small JV_Project Sunflower v25_Pelican - Profit Forecast template 30July07" xfId="509" xr:uid="{A1E1FA10-4239-4E19-BA4F-84134AFE7807}"/>
    <cellStyle name="_Heading_prestemp_Shanghai DCF 12_70%_New B_Small JV_Project Sunflower v25_pelican.xls" xfId="510" xr:uid="{69E11EB8-0802-4A18-843A-8F68D47E8C5F}"/>
    <cellStyle name="_Heading_Project Sunflower v26_CommCommFinal_(print)" xfId="511" xr:uid="{230193A5-B739-422E-A2A9-77D504656D7A}"/>
    <cellStyle name="_Heading_Project Sunflower v26_CommCommFinal_(print)_LVGEM project inputs" xfId="512" xr:uid="{85FBA163-15B8-4E4F-82E4-B3C841241B1B}"/>
    <cellStyle name="_Heading_Project Sunflower v26_CommCommFinal_(print)_pelican" xfId="513" xr:uid="{5D7528CB-0165-46DA-B4CF-410103BEDC2A}"/>
    <cellStyle name="_Heading_Project Sunflower v26_CommCommFinal_(print)_Pelican - Profit Forecast 3Aug07" xfId="514" xr:uid="{375503E7-7C50-4886-B6DC-56594DD4C4EA}"/>
    <cellStyle name="_Heading_Project Sunflower v26_CommCommFinal_(print)_Pelican - Profit Forecast template 11July07_chi" xfId="515" xr:uid="{C204FFA7-6D2B-4CE7-9FA9-82768429768B}"/>
    <cellStyle name="_Heading_Project Sunflower v26_CommCommFinal_(print)_Pelican - Profit Forecast template 29July07" xfId="516" xr:uid="{F5F0EA47-1464-4CB3-B402-A677C8075859}"/>
    <cellStyle name="_Heading_Project Sunflower v26_CommCommFinal_(print)_Pelican - Profit Forecast template 30July07" xfId="517" xr:uid="{8F63B93F-45AB-428A-AAFB-410032354E0B}"/>
    <cellStyle name="_Heading_Project Sunflower v26_CommCommFinal_(print)_pelican.xls" xfId="518" xr:uid="{78CE5BF7-B643-41B1-9DF7-D6F297E330A3}"/>
    <cellStyle name="_Heading_Shanghai DCF 13_JV 70%_New B shares_playing 2" xfId="519" xr:uid="{0F664242-9BFF-4126-AA2A-0680BCE3EB10}"/>
    <cellStyle name="_Heading_Shanghai DCF 13_JV 70%_New B shares_playing 2_LVGEM project inputs" xfId="520" xr:uid="{BA0644E9-2390-472C-B2D6-6C4B1F09AFCE}"/>
    <cellStyle name="_Heading_Shanghai DCF 13_JV 70%_New B shares_playing 2_pelican" xfId="521" xr:uid="{39529FCB-2EF5-4B29-809C-DEECECDAF144}"/>
    <cellStyle name="_Heading_Shanghai DCF 13_JV 70%_New B shares_playing 2_Pelican - Profit Forecast 3Aug07" xfId="522" xr:uid="{E646D0BA-C0D3-43AA-BD5F-2B6FADAB3624}"/>
    <cellStyle name="_Heading_Shanghai DCF 13_JV 70%_New B shares_playing 2_Pelican - Profit Forecast template 11July07_chi" xfId="523" xr:uid="{4760F229-AB9C-40A8-8BD1-02E2DB94AE8D}"/>
    <cellStyle name="_Heading_Shanghai DCF 13_JV 70%_New B shares_playing 2_Pelican - Profit Forecast template 29July07" xfId="524" xr:uid="{E68041D4-BF1B-4153-8657-7ADB03285855}"/>
    <cellStyle name="_Heading_Shanghai DCF 13_JV 70%_New B shares_playing 2_Pelican - Profit Forecast template 30July07" xfId="525" xr:uid="{1DDEB03C-F925-4BD1-9FC5-552CD14943E1}"/>
    <cellStyle name="_Heading_Shanghai DCF 13_JV 70%_New B shares_playing 2_pelican.xls" xfId="526" xr:uid="{14E852CD-57F5-4CF5-9B02-30D8C22DFDB1}"/>
    <cellStyle name="_Heading_Shanghai DCF 13_JV 70%_New B shares_playing 2_Project Sunflower v24" xfId="527" xr:uid="{4D170EC6-E12D-410D-B611-BFE83566D915}"/>
    <cellStyle name="_Heading_Shanghai DCF 13_JV 70%_New B shares_playing 2_Project Sunflower v24_LVGEM project inputs" xfId="528" xr:uid="{DAB44C03-98DD-45B9-A5EF-80FF5471FF39}"/>
    <cellStyle name="_Heading_Shanghai DCF 13_JV 70%_New B shares_playing 2_Project Sunflower v24_pelican" xfId="529" xr:uid="{4A9D3CED-4BB0-4401-A872-773CF4C36CA3}"/>
    <cellStyle name="_Heading_Shanghai DCF 13_JV 70%_New B shares_playing 2_Project Sunflower v24_Pelican - Profit Forecast 3Aug07" xfId="530" xr:uid="{8572C18C-D5D5-4D24-9E70-CBD20105985B}"/>
    <cellStyle name="_Heading_Shanghai DCF 13_JV 70%_New B shares_playing 2_Project Sunflower v24_Pelican - Profit Forecast template 11July07_chi" xfId="531" xr:uid="{B7C2B166-7B9D-4879-BCCD-2F59924B3C23}"/>
    <cellStyle name="_Heading_Shanghai DCF 13_JV 70%_New B shares_playing 2_Project Sunflower v24_Pelican - Profit Forecast template 29July07" xfId="532" xr:uid="{F9B02B0F-39C9-4623-8C3E-EA97C33C4FEC}"/>
    <cellStyle name="_Heading_Shanghai DCF 13_JV 70%_New B shares_playing 2_Project Sunflower v24_Pelican - Profit Forecast template 30July07" xfId="533" xr:uid="{5F74DEC6-C4AB-4799-9D45-827B1FCF47EA}"/>
    <cellStyle name="_Heading_Shanghai DCF 13_JV 70%_New B shares_playing 2_Project Sunflower v24_pelican.xls" xfId="534" xr:uid="{A64473A7-D70C-46AF-8E95-D05BC0C3522B}"/>
    <cellStyle name="_Heading_Shanghai DCF 13_JV 70%_New B shares_playing 2_Project Sunflower v25" xfId="535" xr:uid="{29D9C0A9-677D-4530-B539-6757E06727E2}"/>
    <cellStyle name="_Heading_Shanghai DCF 13_JV 70%_New B shares_playing 2_Project Sunflower v25_LVGEM project inputs" xfId="536" xr:uid="{4DCE004B-B048-40AD-8A9A-A45A92EFDA2A}"/>
    <cellStyle name="_Heading_Shanghai DCF 13_JV 70%_New B shares_playing 2_Project Sunflower v25_pelican" xfId="537" xr:uid="{D1AF904B-E3E6-4667-B6B3-891577D957EC}"/>
    <cellStyle name="_Heading_Shanghai DCF 13_JV 70%_New B shares_playing 2_Project Sunflower v25_Pelican - Profit Forecast 3Aug07" xfId="538" xr:uid="{0D0B9B9D-A568-4301-86D6-A7C9349BB125}"/>
    <cellStyle name="_Heading_Shanghai DCF 13_JV 70%_New B shares_playing 2_Project Sunflower v25_Pelican - Profit Forecast template 11July07_chi" xfId="539" xr:uid="{BFCBB80E-41D1-4A7D-9273-9CA3F8C9CADB}"/>
    <cellStyle name="_Heading_Shanghai DCF 13_JV 70%_New B shares_playing 2_Project Sunflower v25_Pelican - Profit Forecast template 29July07" xfId="540" xr:uid="{12B899E8-9E2E-47EF-A97D-0161A3F1683E}"/>
    <cellStyle name="_Heading_Shanghai DCF 13_JV 70%_New B shares_playing 2_Project Sunflower v25_Pelican - Profit Forecast template 30July07" xfId="541" xr:uid="{207D7B96-7884-477D-A6DB-BD93B90B1698}"/>
    <cellStyle name="_Heading_Shanghai DCF 13_JV 70%_New B shares_playing 2_Project Sunflower v25_pelican.xls" xfId="542" xr:uid="{080CCE72-E5C3-4CDF-939A-29EC43F90F21}"/>
    <cellStyle name="_Heading_Shimao Valuation Model_v49_BH_Comm Comm_v5" xfId="543" xr:uid="{844A4F91-8740-47BF-960D-C35BB7C99B22}"/>
    <cellStyle name="_Heading_Shimao Valuation Model_v49_BH_Comm Comm_v5_LVGEM project inputs" xfId="544" xr:uid="{FC666F30-8FFD-4FAB-9E47-0828C6C7A9A8}"/>
    <cellStyle name="_Heading_Shimao Valuation Model_v49_BH_Comm Comm_v5_pelican" xfId="545" xr:uid="{04EAC522-BCD6-4384-862F-127D55CAF7C6}"/>
    <cellStyle name="_Heading_Shimao Valuation Model_v49_BH_Comm Comm_v5_Pelican - Profit Forecast 3Aug07" xfId="546" xr:uid="{A58DE35D-5010-4A06-A177-F3E972A7B64C}"/>
    <cellStyle name="_Heading_Shimao Valuation Model_v49_BH_Comm Comm_v5_Pelican - Profit Forecast template 11July07_chi" xfId="547" xr:uid="{E5241140-859A-4E99-8503-AAA2020FF25D}"/>
    <cellStyle name="_Heading_Shimao Valuation Model_v49_BH_Comm Comm_v5_Pelican - Profit Forecast template 29July07" xfId="548" xr:uid="{AB1CFF7A-5889-4617-BB95-EBA732DF2344}"/>
    <cellStyle name="_Heading_Shimao Valuation Model_v49_BH_Comm Comm_v5_Pelican - Profit Forecast template 30July07" xfId="549" xr:uid="{C610F975-7AF2-489A-AB48-5D2BE3F346C0}"/>
    <cellStyle name="_Heading_Shimao Valuation Model_v49_BH_Comm Comm_v5_pelican.xls" xfId="550" xr:uid="{7425A096-08F9-49DA-BE5E-4FF2ECA0BA58}"/>
    <cellStyle name="_Heading_Sinochem DCF version 15" xfId="551" xr:uid="{C5A1E89C-18CF-4568-8F0E-8DAD040162D6}"/>
    <cellStyle name="_Heading_Sinochem DCF version 15_LVGEM project inputs" xfId="552" xr:uid="{6C8F8D4C-F960-4932-B2EC-A8E3C51EC304}"/>
    <cellStyle name="_Heading_Sinochem DCF version 15_pelican" xfId="553" xr:uid="{E88FF52A-B116-4025-A039-E551CF746EA5}"/>
    <cellStyle name="_Heading_Sinochem DCF version 15_Pelican - Profit Forecast 3Aug07" xfId="554" xr:uid="{A7CAE946-AFBD-414B-9168-9ABFDB94B51E}"/>
    <cellStyle name="_Heading_Sinochem DCF version 15_Pelican - Profit Forecast template 11July07_chi" xfId="555" xr:uid="{9C0C231B-4655-4E43-AD83-FED802090228}"/>
    <cellStyle name="_Heading_Sinochem DCF version 15_Pelican - Profit Forecast template 29July07" xfId="556" xr:uid="{18CC2CC2-1B1A-4C04-B209-643CAB67ECA0}"/>
    <cellStyle name="_Heading_Sinochem DCF version 15_Pelican - Profit Forecast template 30July07" xfId="557" xr:uid="{D4F5FD2F-D259-4408-804F-7C7DC66AC91D}"/>
    <cellStyle name="_Heading_Sinochem DCF version 15_pelican.xls" xfId="558" xr:uid="{58E07FFE-CE6E-47B8-B984-1FC8D2565905}"/>
    <cellStyle name="_Heading_Sinochem DCF version 15_Project Sunflower v24" xfId="559" xr:uid="{DFB5DD80-250B-4021-AB9A-537D8CFADB6B}"/>
    <cellStyle name="_Heading_Sinochem DCF version 15_Project Sunflower v24_LVGEM project inputs" xfId="560" xr:uid="{E2DF90E2-D6AA-4A01-8221-350552C4FEA5}"/>
    <cellStyle name="_Heading_Sinochem DCF version 15_Project Sunflower v24_pelican" xfId="561" xr:uid="{D0C1DDD0-F124-4321-8166-A4048A197FDB}"/>
    <cellStyle name="_Heading_Sinochem DCF version 15_Project Sunflower v24_Pelican - Profit Forecast 3Aug07" xfId="562" xr:uid="{5EB845D1-3495-4437-947E-CE1B267B779B}"/>
    <cellStyle name="_Heading_Sinochem DCF version 15_Project Sunflower v24_Pelican - Profit Forecast template 11July07_chi" xfId="563" xr:uid="{114A026E-5A60-4834-B140-A42B107E7537}"/>
    <cellStyle name="_Heading_Sinochem DCF version 15_Project Sunflower v24_Pelican - Profit Forecast template 29July07" xfId="564" xr:uid="{2AD932DD-81C9-4931-B219-DA5D4CA12244}"/>
    <cellStyle name="_Heading_Sinochem DCF version 15_Project Sunflower v24_Pelican - Profit Forecast template 30July07" xfId="565" xr:uid="{0A7C906D-6301-42BB-95A1-63994DF5A6E1}"/>
    <cellStyle name="_Heading_Sinochem DCF version 15_Project Sunflower v24_pelican.xls" xfId="566" xr:uid="{A7913CD5-C03C-43A2-8C72-760B3475FEEF}"/>
    <cellStyle name="_Heading_Sinochem DCF version 15_Project Sunflower v25" xfId="567" xr:uid="{8E6C73BA-4346-4FD9-B5C3-5C854E512780}"/>
    <cellStyle name="_Heading_Sinochem DCF version 15_Project Sunflower v25_LVGEM project inputs" xfId="568" xr:uid="{4AAAC583-87D9-4349-8B65-A5F81F28290C}"/>
    <cellStyle name="_Heading_Sinochem DCF version 15_Project Sunflower v25_pelican" xfId="569" xr:uid="{C116DC9F-F697-4D43-94A1-B59DE9644E75}"/>
    <cellStyle name="_Heading_Sinochem DCF version 15_Project Sunflower v25_Pelican - Profit Forecast 3Aug07" xfId="570" xr:uid="{0F3514DC-394B-4F6A-B83A-043432CE1E4F}"/>
    <cellStyle name="_Heading_Sinochem DCF version 15_Project Sunflower v25_Pelican - Profit Forecast template 11July07_chi" xfId="571" xr:uid="{68095868-0E43-4FA2-B640-C2333593B2D5}"/>
    <cellStyle name="_Heading_Sinochem DCF version 15_Project Sunflower v25_Pelican - Profit Forecast template 29July07" xfId="572" xr:uid="{334A5C7E-DA35-4553-9A7E-02CFA9AC03A3}"/>
    <cellStyle name="_Heading_Sinochem DCF version 15_Project Sunflower v25_Pelican - Profit Forecast template 30July07" xfId="573" xr:uid="{74E4593E-CB89-4976-8525-583E2B5E0370}"/>
    <cellStyle name="_Heading_Sinochem DCF version 15_Project Sunflower v25_pelican.xls" xfId="574" xr:uid="{ED13888B-50C1-40B9-875B-6EC0BA27D758}"/>
    <cellStyle name="_Heading_test_PF_Rightway Model_v6_2" xfId="575" xr:uid="{279CCC71-56CD-4B42-B10F-7BFD008C16A1}"/>
    <cellStyle name="_Heading_test_PF_Rightway Model_v6_2_LVGEM project inputs" xfId="576" xr:uid="{AF7FAAEF-8046-4ECA-B156-4228EC74C0EF}"/>
    <cellStyle name="_Heading_test_PF_Rightway Model_v6_2_pelican" xfId="577" xr:uid="{313DD8E7-8C03-4103-9265-46E0EC5DB4EF}"/>
    <cellStyle name="_Heading_test_PF_Rightway Model_v6_2_Pelican - Profit Forecast 3Aug07" xfId="578" xr:uid="{55362BEC-66AA-4EB9-9BC3-B2C44961C162}"/>
    <cellStyle name="_Heading_test_PF_Rightway Model_v6_2_Pelican - Profit Forecast template 11July07_chi" xfId="579" xr:uid="{0CE1FBB1-5C0F-480F-9872-82DCCAF6C616}"/>
    <cellStyle name="_Heading_test_PF_Rightway Model_v6_2_Pelican - Profit Forecast template 29July07" xfId="580" xr:uid="{91136259-9EA3-4001-8AE1-9064EA43DA1A}"/>
    <cellStyle name="_Heading_test_PF_Rightway Model_v6_2_Pelican - Profit Forecast template 30July07" xfId="581" xr:uid="{83537879-E4B8-48E9-85AE-144F5BDE67A3}"/>
    <cellStyle name="_Heading_test_PF_Rightway Model_v6_2_pelican.xls" xfId="582" xr:uid="{C93A9142-75E5-4568-8D13-BD5EFAC7764C}"/>
    <cellStyle name="_Heading_Transaction-based Valuation of Lynx" xfId="583" xr:uid="{C87C777E-B8D9-44D8-A0F4-0A07822E9390}"/>
    <cellStyle name="_Heading_Transaction-based Valuation of Lynx_LVGEM project inputs" xfId="584" xr:uid="{1127472C-95EC-4FBA-BF3A-DBC3893D3B64}"/>
    <cellStyle name="_Heading_Transaction-based Valuation of Lynx_pelican" xfId="585" xr:uid="{52CA8E61-7FDD-4B6A-B83A-B9DA5F0640E2}"/>
    <cellStyle name="_Heading_Transaction-based Valuation of Lynx_Pelican - Profit Forecast 3Aug07" xfId="586" xr:uid="{9925E145-804E-4698-AE69-4C9D425AF81E}"/>
    <cellStyle name="_Heading_Transaction-based Valuation of Lynx_Pelican - Profit Forecast template 11July07_chi" xfId="587" xr:uid="{77B966B1-1E15-4A0E-B66D-D23CBA2FEFB6}"/>
    <cellStyle name="_Heading_Transaction-based Valuation of Lynx_Pelican - Profit Forecast template 29July07" xfId="588" xr:uid="{7B855380-9A90-4385-A8DA-EC762B55DB38}"/>
    <cellStyle name="_Heading_Transaction-based Valuation of Lynx_Pelican - Profit Forecast template 30July07" xfId="589" xr:uid="{B6631F8D-BB8C-4447-B371-67C84C4DF8BE}"/>
    <cellStyle name="_Heading_Transaction-based Valuation of Lynx_pelican.xls" xfId="590" xr:uid="{29C137FF-D4B7-49EE-A128-F246FD0325A9}"/>
    <cellStyle name="_Heading_WACC_template" xfId="591" xr:uid="{A10D0EF6-4710-4346-A127-6731B3A77B50}"/>
    <cellStyle name="_Heading_WACC_template_LVGEM project inputs" xfId="592" xr:uid="{15D2FAD7-A3E4-4BB1-ADDA-F769F4A7DDFC}"/>
    <cellStyle name="_Heading_WACC_template_pelican" xfId="593" xr:uid="{9AC2CECE-E092-4B8F-8BC0-0222E5C9F64C}"/>
    <cellStyle name="_Heading_WACC_template_Pelican - Profit Forecast 3Aug07" xfId="594" xr:uid="{9AD1D896-228A-4876-8EFC-F8C234CB1534}"/>
    <cellStyle name="_Heading_WACC_template_Pelican - Profit Forecast template 11July07_chi" xfId="595" xr:uid="{720858BF-461B-4687-83B7-68AB34C3EF62}"/>
    <cellStyle name="_Heading_WACC_template_Pelican - Profit Forecast template 29July07" xfId="596" xr:uid="{C4AA262F-647E-4A79-B70A-85897067F1DE}"/>
    <cellStyle name="_Heading_WACC_template_Pelican - Profit Forecast template 30July07" xfId="597" xr:uid="{ACA64ABC-A712-4E45-85F5-23517D7AFE62}"/>
    <cellStyle name="_Heading_WACC_template_pelican.xls" xfId="598" xr:uid="{9E7FC917-8697-4C1D-8FEB-F9E2DDE8DFBA}"/>
    <cellStyle name="_Heading_WACC_template_Project Sunflower v24" xfId="599" xr:uid="{314ADA04-0501-452E-9C52-58F860138E08}"/>
    <cellStyle name="_Heading_WACC_template_Project Sunflower v24_LVGEM project inputs" xfId="600" xr:uid="{32AA022A-7711-4A81-8719-A7969741DF96}"/>
    <cellStyle name="_Heading_WACC_template_Project Sunflower v24_pelican" xfId="601" xr:uid="{C7B89179-D8BD-470E-8A65-EE657F1BD79B}"/>
    <cellStyle name="_Heading_WACC_template_Project Sunflower v24_Pelican - Profit Forecast 3Aug07" xfId="602" xr:uid="{CEC55966-0B4E-46AC-87C2-3AE83A54F30F}"/>
    <cellStyle name="_Heading_WACC_template_Project Sunflower v24_Pelican - Profit Forecast template 11July07_chi" xfId="603" xr:uid="{73C93BFB-2886-476E-B7A5-C8C31C15CADE}"/>
    <cellStyle name="_Heading_WACC_template_Project Sunflower v24_Pelican - Profit Forecast template 29July07" xfId="604" xr:uid="{34DCD723-1AF5-490D-81D4-07283EAD4C2B}"/>
    <cellStyle name="_Heading_WACC_template_Project Sunflower v24_Pelican - Profit Forecast template 30July07" xfId="605" xr:uid="{C315B91D-3EA8-4316-A588-DE8161C65F96}"/>
    <cellStyle name="_Heading_WACC_template_Project Sunflower v24_pelican.xls" xfId="606" xr:uid="{4F1FF669-54F3-4C4D-9B30-F2569547EDA7}"/>
    <cellStyle name="_Heading_WACC_template_Project Sunflower v25" xfId="607" xr:uid="{5ED198FB-99E3-4AD5-BD4D-297515E80352}"/>
    <cellStyle name="_Heading_WACC_template_Project Sunflower v25_LVGEM project inputs" xfId="608" xr:uid="{094C520F-0260-46C6-845A-64E1FEA693A9}"/>
    <cellStyle name="_Heading_WACC_template_Project Sunflower v25_pelican" xfId="609" xr:uid="{6223D1A0-58BD-4B81-8629-223274892402}"/>
    <cellStyle name="_Heading_WACC_template_Project Sunflower v25_Pelican - Profit Forecast 3Aug07" xfId="610" xr:uid="{3D3ED1F9-2DAF-471C-AD51-C885EB168324}"/>
    <cellStyle name="_Heading_WACC_template_Project Sunflower v25_Pelican - Profit Forecast template 11July07_chi" xfId="611" xr:uid="{F564FD23-971D-4CC4-9451-65D2F47F750E}"/>
    <cellStyle name="_Heading_WACC_template_Project Sunflower v25_Pelican - Profit Forecast template 29July07" xfId="612" xr:uid="{11B55FCA-380D-4267-A8E4-96F250697BD1}"/>
    <cellStyle name="_Heading_WACC_template_Project Sunflower v25_Pelican - Profit Forecast template 30July07" xfId="613" xr:uid="{CB5DFC58-5727-4B6B-9214-40FDD158AB81}"/>
    <cellStyle name="_Heading_WACC_template_Project Sunflower v25_pelican.xls" xfId="614" xr:uid="{7E72B39D-6F3F-46B3-82F0-ED1EF74B4074}"/>
    <cellStyle name="_Headline" xfId="615" xr:uid="{39E9789E-16CA-4545-98A3-EA1569C0DA08}"/>
    <cellStyle name="_Headline_LVGEM project inputs" xfId="616" xr:uid="{CB6B8AE3-0335-4D02-8FF3-26E653925122}"/>
    <cellStyle name="_Headline_pelican" xfId="617" xr:uid="{86567A25-B86B-4F44-B125-34AFD2DAD07D}"/>
    <cellStyle name="_Headline_Pelican - Profit Forecast 3Aug07" xfId="618" xr:uid="{57BDB016-2F67-4D2E-9F4A-33034A322C9B}"/>
    <cellStyle name="_Headline_Pelican - Profit Forecast template 11July07_chi" xfId="619" xr:uid="{A497EDBA-0348-4C56-B0F8-9659D56B4A9D}"/>
    <cellStyle name="_Headline_Pelican - Profit Forecast template 29July07" xfId="620" xr:uid="{165EA5A8-2B88-4161-97CE-E68320D909EF}"/>
    <cellStyle name="_Headline_Pelican - Profit Forecast template 30July07" xfId="621" xr:uid="{ECBB269C-6808-41AA-B3FC-D08F2B5A9C5E}"/>
    <cellStyle name="_Headline_pelican.xls" xfId="622" xr:uid="{80F448A8-AE68-4AD2-A9B9-E840BBBF4160}"/>
    <cellStyle name="_Headline_Project Sunflower v24" xfId="623" xr:uid="{FCC8F281-2AC7-49CF-939F-4D96294EAE3F}"/>
    <cellStyle name="_Headline_Project Sunflower v24_LVGEM project inputs" xfId="624" xr:uid="{2BC58C95-6090-4126-85E1-E7C72B347CB3}"/>
    <cellStyle name="_Headline_Project Sunflower v24_pelican" xfId="625" xr:uid="{C6F1DEF8-F70A-4BE7-ACE7-8A85E9C57CD6}"/>
    <cellStyle name="_Headline_Project Sunflower v24_Pelican - Profit Forecast 3Aug07" xfId="626" xr:uid="{47A52858-6D1A-4A77-97B2-4F70616747A2}"/>
    <cellStyle name="_Headline_Project Sunflower v24_Pelican - Profit Forecast template 11July07_chi" xfId="627" xr:uid="{E17E50FD-4234-4CE6-8DDE-598E3CD012ED}"/>
    <cellStyle name="_Headline_Project Sunflower v24_Pelican - Profit Forecast template 29July07" xfId="628" xr:uid="{BA48F91B-41A1-40BB-9A23-19464B7330B1}"/>
    <cellStyle name="_Headline_Project Sunflower v24_Pelican - Profit Forecast template 30July07" xfId="629" xr:uid="{1154F515-1B53-4A3C-9445-C7CFCD11DDF5}"/>
    <cellStyle name="_Headline_Project Sunflower v24_pelican.xls" xfId="630" xr:uid="{7D3CB1E4-007F-4738-BA9E-1AC13F72C1FE}"/>
    <cellStyle name="_Headline_Project Sunflower v25" xfId="631" xr:uid="{7D10F218-EBC4-4180-BA0E-F82BDD7C329D}"/>
    <cellStyle name="_Headline_Project Sunflower v25_LVGEM project inputs" xfId="632" xr:uid="{B2C36AFE-4CA1-4279-B395-B33F2CD16567}"/>
    <cellStyle name="_Headline_Project Sunflower v25_pelican" xfId="633" xr:uid="{5D529E2C-3CA5-4771-945D-5D6A9540D3C5}"/>
    <cellStyle name="_Headline_Project Sunflower v25_Pelican - Profit Forecast 3Aug07" xfId="634" xr:uid="{29DC6710-118D-4DC8-8C36-51CC7C839E4B}"/>
    <cellStyle name="_Headline_Project Sunflower v25_Pelican - Profit Forecast template 11July07_chi" xfId="635" xr:uid="{98E7D603-B72A-4BFD-BF0C-6677A5E189D5}"/>
    <cellStyle name="_Headline_Project Sunflower v25_Pelican - Profit Forecast template 29July07" xfId="636" xr:uid="{9834A1A3-F458-4560-AFA0-5D402CE49E1F}"/>
    <cellStyle name="_Headline_Project Sunflower v25_Pelican - Profit Forecast template 30July07" xfId="637" xr:uid="{D9B2EDB0-5E77-444B-A933-E0F514B20793}"/>
    <cellStyle name="_Headline_Project Sunflower v25_pelican.xls" xfId="638" xr:uid="{810EE7D0-15E7-44E7-8D45-C29C79D00009}"/>
    <cellStyle name="_Highlight" xfId="639" xr:uid="{9485254A-7D8C-4890-9D63-F2191A20428D}"/>
    <cellStyle name="_input" xfId="640" xr:uid="{0DB6D7EF-534D-4545-9DA1-EB56D59C96AE}"/>
    <cellStyle name="_LVGEM project inputs" xfId="641" xr:uid="{2A416655-6F49-4E73-B999-D9780A68F536}"/>
    <cellStyle name="_Monthly management reporting -__ NCJD(2009.10)" xfId="642" xr:uid="{542B2669-31E3-4715-926E-8BB8391CF5C7}"/>
    <cellStyle name="_Monthly summarised financial reports - 2009.07" xfId="643" xr:uid="{29846BE3-EC85-46C6-A953-41E5C72DB463}"/>
    <cellStyle name="_Multiple" xfId="644" xr:uid="{B66E4E89-E286-4B7A-8F91-5E6465A5F14D}"/>
    <cellStyle name="_Multiple 2" xfId="3591" xr:uid="{1A906560-C09F-44BD-BAC8-576D69F554B6}"/>
    <cellStyle name="_Multiple_060224_Pearlshell_DCF_Prelim" xfId="645" xr:uid="{E9F01AB5-9754-48EB-9459-339500C78346}"/>
    <cellStyle name="_Multiple_060225_Pearlshell_DCF_Prelim_V4" xfId="646" xr:uid="{2DC7FEFD-0D34-49A2-8F59-C35992F87AB9}"/>
    <cellStyle name="_Multiple_beta" xfId="647" xr:uid="{5676EEDB-A1A2-4146-B497-2C3CD1D3FF95}"/>
    <cellStyle name="_Multiple_dcf" xfId="648" xr:uid="{9B765F62-0367-4CBB-B717-5694CE9F6A1F}"/>
    <cellStyle name="_Multiple_DCF Model_v7" xfId="649" xr:uid="{5084B716-885F-4DD3-8609-E93560E2D92E}"/>
    <cellStyle name="_Multiple_DCF_050422" xfId="650" xr:uid="{0CC61C04-945E-4C43-B715-0F59A505543A}"/>
    <cellStyle name="_Multiple_DCF_handout_WACC_calc exercise - no answer" xfId="651" xr:uid="{94D666E3-7A15-4938-BC81-CD9016346094}"/>
    <cellStyle name="_Multiple_Financial Model_v13" xfId="652" xr:uid="{4079A0C7-924D-49DB-A67F-235A7974F827}"/>
    <cellStyle name="_Multiple_fund model 5" xfId="653" xr:uid="{147B98A2-A80A-4430-BEBA-93D87FA01053}"/>
    <cellStyle name="_Multiple_Mindray Medical Intl Ltd Consolidated" xfId="654" xr:uid="{26388559-6C9C-457C-8776-AE691C67979C}"/>
    <cellStyle name="_Multiple_MobilTel Matav model 18 June 2003 v1 NEW Emilie" xfId="655" xr:uid="{B3856A2C-57E1-48F3-BFB8-1348939AD71D}"/>
    <cellStyle name="_Multiple_Shanghai DCF 13_JV 70%_New B shares_playing 2" xfId="656" xr:uid="{9872FCF2-A892-453D-A70B-782A2654E498}"/>
    <cellStyle name="_Multiple_WACC Analysis" xfId="657" xr:uid="{2B86CB58-2860-460A-B57F-7A5C719971B1}"/>
    <cellStyle name="_MultipleSpace" xfId="658" xr:uid="{C415A35E-734A-4E06-B92A-C201A3F88211}"/>
    <cellStyle name="_MultipleSpace 2" xfId="3592" xr:uid="{06340615-A805-4BD6-A0CD-78C96E68882D}"/>
    <cellStyle name="_MultipleSpace_060224_Pearlshell_DCF_Prelim" xfId="659" xr:uid="{B8CAF8D5-D84D-44F0-92CE-9B92ACB38C80}"/>
    <cellStyle name="_MultipleSpace_060225_Pearlshell_DCF_Prelim_V4" xfId="660" xr:uid="{4F850770-89C6-492D-A3C8-C603894F44F7}"/>
    <cellStyle name="_MultipleSpace_beta" xfId="661" xr:uid="{307232D5-42DB-457C-AACF-3B9BDE1886CB}"/>
    <cellStyle name="_MultipleSpace_dcf" xfId="662" xr:uid="{5E33E044-073A-45F3-B032-FA6136DC80E5}"/>
    <cellStyle name="_MultipleSpace_DCF Model_v7" xfId="663" xr:uid="{4D277C87-CFF4-4064-81D1-D2DA8C986383}"/>
    <cellStyle name="_MultipleSpace_DCF_050422" xfId="664" xr:uid="{ACBAEC1C-E832-481F-8134-AC54E655211A}"/>
    <cellStyle name="_MultipleSpace_DCF_handout_WACC_calc exercise - no answer" xfId="665" xr:uid="{25C6A6A1-27B1-4E33-A712-B8823AA2A79B}"/>
    <cellStyle name="_MultipleSpace_Financial Model_v13" xfId="666" xr:uid="{110CD76D-F2D6-4C5B-B522-D47E3EF9C567}"/>
    <cellStyle name="_MultipleSpace_fund model 5" xfId="667" xr:uid="{97D55493-6FC4-4961-A30E-20EA9D0AAC62}"/>
    <cellStyle name="_MultipleSpace_Mindray Medical Intl Ltd Consolidated" xfId="668" xr:uid="{88D1D102-4E9A-4690-8915-FE96B861ADF5}"/>
    <cellStyle name="_MultipleSpace_MobilTel Matav model 18 June 2003 v1 NEW Emilie" xfId="669" xr:uid="{AA541468-E47D-45BE-A24E-3E202E000ADB}"/>
    <cellStyle name="_MultipleSpace_Shanghai DCF 13_JV 70%_New B shares_playing 2" xfId="670" xr:uid="{78DBBA2E-DFBD-465F-AE23-98C1B19C143B}"/>
    <cellStyle name="_MultipleSpace_WACC Analysis" xfId="671" xr:uid="{E70C45B4-986F-4337-91CB-E5C6920475FF}"/>
    <cellStyle name="_pelican" xfId="672" xr:uid="{341A0362-CCA2-4B38-87C1-256972194206}"/>
    <cellStyle name="_Pelican - Profit Forecast 3Aug07" xfId="673" xr:uid="{D69B2EE5-A3F5-4FEB-9E1C-451A157BA7AA}"/>
    <cellStyle name="_Pelican - Profit Forecast template 11July07_chi" xfId="674" xr:uid="{9C94E8A1-B026-44F0-AF2D-37A241300C33}"/>
    <cellStyle name="_Pelican - Profit Forecast template 29July07" xfId="675" xr:uid="{468356AC-26FF-4F7B-B2E2-DF2EA0718F08}"/>
    <cellStyle name="_Pelican - Profit Forecast template 30July07" xfId="676" xr:uid="{69972BB4-81D3-4C0A-9C2F-22B4AD091936}"/>
    <cellStyle name="_pelican.xls" xfId="677" xr:uid="{EBB4B74C-FDEE-462E-A882-B5D338147C4A}"/>
    <cellStyle name="_Percent" xfId="678" xr:uid="{58B659BA-EC12-43B9-82AB-59737D2510E9}"/>
    <cellStyle name="_Percent 2" xfId="3593" xr:uid="{2244A50F-5C07-46AF-AA7B-29E512C004B9}"/>
    <cellStyle name="_Percent_MobilTel Matav model 18 June 2003 v1 NEW Emilie" xfId="679" xr:uid="{60C0C349-3E7F-4E0A-AC01-3BA32CF03580}"/>
    <cellStyle name="_Percent_WACC Analysis" xfId="680" xr:uid="{E765CCEE-9ACF-4903-9212-C180BA2FB32A}"/>
    <cellStyle name="_PercentSpace" xfId="681" xr:uid="{4097C89F-1C9A-496C-AC63-9BB32467EA6B}"/>
    <cellStyle name="_PercentSpace 2" xfId="3594" xr:uid="{392684C9-B526-4EE6-942F-32F07631A173}"/>
    <cellStyle name="_PercentSpace_MobilTel Matav model 18 June 2003 v1 NEW Emilie" xfId="682" xr:uid="{E3F39821-691F-475E-9177-7A0A2783F42E}"/>
    <cellStyle name="_PercentSpace_WACC Analysis" xfId="683" xr:uid="{31A3F9CE-D84A-4C1F-A4A4-A07E06078199}"/>
    <cellStyle name="_Project Norway model v20 (consolidated cash)" xfId="684" xr:uid="{734F2CAB-9B92-480A-8ED6-D638B2AAF119}"/>
    <cellStyle name="_Project Norway model v20 (consolidated cash)_LVGEM project inputs" xfId="685" xr:uid="{D4580101-A6BF-4E9F-AC6A-BEC934CB0BBB}"/>
    <cellStyle name="_Project Norway model v20 (consolidated cash)_pelican" xfId="686" xr:uid="{43A1AC9E-1137-4CCC-AC28-C21142A9B601}"/>
    <cellStyle name="_Project Norway model v20 (consolidated cash)_Pelican - Profit Forecast 3Aug07" xfId="687" xr:uid="{5DCCE086-5F84-48D0-ABC6-3E3E5CF656A9}"/>
    <cellStyle name="_Project Norway model v20 (consolidated cash)_Pelican - Profit Forecast template 11July07_chi" xfId="688" xr:uid="{9B7656D0-E7D5-4575-BEB1-F672AE07C7B2}"/>
    <cellStyle name="_Project Norway model v20 (consolidated cash)_Pelican - Profit Forecast template 29July07" xfId="689" xr:uid="{395BC1E2-6413-469B-8CF9-EE4D42FA7DEE}"/>
    <cellStyle name="_Project Norway model v20 (consolidated cash)_Pelican - Profit Forecast template 30July07" xfId="690" xr:uid="{193D8A08-1A71-49F7-AF62-985611302098}"/>
    <cellStyle name="_Project Norway model v20 (consolidated cash)_pelican.xls" xfId="691" xr:uid="{515D1722-F5AB-49AE-9BD8-C64B4F8FE5D5}"/>
    <cellStyle name="_Project Norway model v28" xfId="692" xr:uid="{8B7086F3-0A7D-4973-BA39-4EFA29A0C677}"/>
    <cellStyle name="_Project Norway model v28_LVGEM project inputs" xfId="693" xr:uid="{D7B53724-B379-463D-88E0-28AFFA14AAA4}"/>
    <cellStyle name="_Project Norway model v28_pelican" xfId="694" xr:uid="{F07DD32E-5B0E-48AE-B7F3-A4BFF4844FD9}"/>
    <cellStyle name="_Project Norway model v28_Pelican - Profit Forecast 3Aug07" xfId="695" xr:uid="{55A08859-9F47-4787-939C-EF69E13E93C4}"/>
    <cellStyle name="_Project Norway model v28_Pelican - Profit Forecast template 11July07_chi" xfId="696" xr:uid="{A6A270B9-AADC-410E-BDC6-431E84A19BA2}"/>
    <cellStyle name="_Project Norway model v28_Pelican - Profit Forecast template 29July07" xfId="697" xr:uid="{B2545CF5-FC9A-4E2F-92A3-A1A3119A004A}"/>
    <cellStyle name="_Project Norway model v28_Pelican - Profit Forecast template 30July07" xfId="698" xr:uid="{27815641-97C1-4D11-AA5D-349818ABEE00}"/>
    <cellStyle name="_Project Norway model v28_pelican.xls" xfId="699" xr:uid="{57FEFE56-D22C-46B1-9B6E-A52E3C68DD86}"/>
    <cellStyle name="_Project Norway model v33" xfId="700" xr:uid="{0069D471-A282-4319-8EE2-AF1C8E0EBD73}"/>
    <cellStyle name="_Project Norway model v33_LVGEM project inputs" xfId="701" xr:uid="{3A915170-73BB-444D-B872-EDA7725201C7}"/>
    <cellStyle name="_Project Norway model v33_pelican" xfId="702" xr:uid="{C5AA6677-8CF1-427A-A008-3ACA7A2B7922}"/>
    <cellStyle name="_Project Norway model v33_Pelican - Profit Forecast 3Aug07" xfId="703" xr:uid="{C44CA108-CC3A-44B6-9708-6F65F1D738D1}"/>
    <cellStyle name="_Project Norway model v33_Pelican - Profit Forecast template 11July07_chi" xfId="704" xr:uid="{892E1FD7-2B55-4DBA-A6A5-5A14B368EFBC}"/>
    <cellStyle name="_Project Norway model v33_Pelican - Profit Forecast template 29July07" xfId="705" xr:uid="{EE42EBDD-0F87-4291-8B26-41B868457EA4}"/>
    <cellStyle name="_Project Norway model v33_Pelican - Profit Forecast template 30July07" xfId="706" xr:uid="{023D25C5-D15A-4CC3-A980-3EEBC6A99B76}"/>
    <cellStyle name="_Project Norway model v33_pelican.xls" xfId="707" xr:uid="{28BD6031-B8A3-47B3-B9E0-8EEB448596D1}"/>
    <cellStyle name="_Project Norway model v46" xfId="708" xr:uid="{3201FE9E-7DF7-43C1-B58A-D37F2C631697}"/>
    <cellStyle name="_Project Norway model v46_LVGEM project inputs" xfId="709" xr:uid="{0BD9CC4C-113F-4B44-BBF5-068E1FD45587}"/>
    <cellStyle name="_Project Norway model v46_pelican" xfId="710" xr:uid="{E356F222-B84F-4EC8-B3B6-9B491CFB93C8}"/>
    <cellStyle name="_Project Norway model v46_Pelican - Profit Forecast 3Aug07" xfId="711" xr:uid="{187D556F-6045-46F2-800E-1653A7C64E40}"/>
    <cellStyle name="_Project Norway model v46_Pelican - Profit Forecast template 11July07_chi" xfId="712" xr:uid="{5798BACA-A234-4916-9D26-AB6079ED9B07}"/>
    <cellStyle name="_Project Norway model v46_Pelican - Profit Forecast template 29July07" xfId="713" xr:uid="{98E9728A-8C6B-411A-9B8B-6AEC1D8491A1}"/>
    <cellStyle name="_Project Norway model v46_Pelican - Profit Forecast template 30July07" xfId="714" xr:uid="{8D0330A7-6EDA-4202-8AEE-5FCBE8E160D4}"/>
    <cellStyle name="_Project Norway model v46_pelican.xls" xfId="715" xr:uid="{56578EFB-90DF-4C54-8230-2366BE63A237}"/>
    <cellStyle name="_Project Sunflower v26_CommCommFinal_(print)" xfId="716" xr:uid="{60065B08-65B2-4F2E-A904-CED6E0A73554}"/>
    <cellStyle name="_Red Star Retail JV - Output format_v2" xfId="717" xr:uid="{CDF9D1FD-2164-4313-9D47-A1398579FC7A}"/>
    <cellStyle name="_Red Star Retail JV - Output format_v3" xfId="718" xr:uid="{19E53FFC-8042-4D84-A5D4-85FBE6641D27}"/>
    <cellStyle name="_Rev Recognized (Historical) v2" xfId="719" xr:uid="{A37A6606-92B6-426F-AB04-E1A8131558F4}"/>
    <cellStyle name="_rev_cogs build" xfId="720" xr:uid="{BB9645F1-8C52-4B99-8D38-673FF5D1B58C}"/>
    <cellStyle name="_rev_cogs build_LVGEM project inputs" xfId="721" xr:uid="{2EA1EE46-CF7F-4226-BF32-9ECFB0CEB1EA}"/>
    <cellStyle name="_rev_cogs build_pelican" xfId="722" xr:uid="{AB79FB69-29F0-4A9C-8157-1D69A343B837}"/>
    <cellStyle name="_rev_cogs build_Pelican - Profit Forecast 3Aug07" xfId="723" xr:uid="{E8EB535E-9F22-49AE-96DF-12BE8971FD7B}"/>
    <cellStyle name="_rev_cogs build_Pelican - Profit Forecast template 11July07_chi" xfId="724" xr:uid="{1E849FF1-7A10-4CFD-AAF1-51B40BE80A4C}"/>
    <cellStyle name="_rev_cogs build_Pelican - Profit Forecast template 29July07" xfId="725" xr:uid="{AF48D787-3D56-4035-959B-DC604786F96D}"/>
    <cellStyle name="_rev_cogs build_Pelican - Profit Forecast template 30July07" xfId="726" xr:uid="{7731F763-E314-4F2B-84B0-C4B88F570505}"/>
    <cellStyle name="_rev_cogs build_pelican.xls" xfId="727" xr:uid="{8F9D47D4-2041-47CC-8F5D-3505BD62FF84}"/>
    <cellStyle name="_rev_cogs build_Project Norway model v20 (consolidated cash)" xfId="728" xr:uid="{A5A3AFA0-A373-4306-BD57-CA5AB3E0172E}"/>
    <cellStyle name="_rev_cogs build_Project Norway model v20 (consolidated cash)_LVGEM project inputs" xfId="729" xr:uid="{1C3C7F77-C3A3-4C81-B65E-BE61D45C70B6}"/>
    <cellStyle name="_rev_cogs build_Project Norway model v20 (consolidated cash)_pelican" xfId="730" xr:uid="{D2B0D088-6088-4449-A17A-F465CC475671}"/>
    <cellStyle name="_rev_cogs build_Project Norway model v20 (consolidated cash)_Pelican - Profit Forecast 3Aug07" xfId="731" xr:uid="{A3886964-FF70-4903-B7F4-60B8B4F37D96}"/>
    <cellStyle name="_rev_cogs build_Project Norway model v20 (consolidated cash)_Pelican - Profit Forecast template 11July07_chi" xfId="732" xr:uid="{20E4294A-830C-4C7C-983B-A11B3FE184D6}"/>
    <cellStyle name="_rev_cogs build_Project Norway model v20 (consolidated cash)_Pelican - Profit Forecast template 29July07" xfId="733" xr:uid="{E5A14141-0AF3-4C91-9CA8-623C2ADA5F8A}"/>
    <cellStyle name="_rev_cogs build_Project Norway model v20 (consolidated cash)_Pelican - Profit Forecast template 30July07" xfId="734" xr:uid="{BD30C8A4-AD2C-472C-B1CB-0040DF388D43}"/>
    <cellStyle name="_rev_cogs build_Project Norway model v20 (consolidated cash)_pelican.xls" xfId="735" xr:uid="{DA947FB5-EA7C-4F7A-A485-36397EF9D6F1}"/>
    <cellStyle name="_rev_cogs build_Project Norway model v28" xfId="736" xr:uid="{60C7AC7F-D610-4844-8E05-ED1FCB8CDA41}"/>
    <cellStyle name="_rev_cogs build_Project Norway model v28_LVGEM project inputs" xfId="737" xr:uid="{B037C89D-2439-42B9-8A10-E84D377A7B12}"/>
    <cellStyle name="_rev_cogs build_Project Norway model v28_pelican" xfId="738" xr:uid="{E562E2B0-B17E-48FA-BF74-8C2F04E4E60A}"/>
    <cellStyle name="_rev_cogs build_Project Norway model v28_Pelican - Profit Forecast 3Aug07" xfId="739" xr:uid="{549910B4-E6D7-4B52-94BB-B61AF95601A3}"/>
    <cellStyle name="_rev_cogs build_Project Norway model v28_Pelican - Profit Forecast template 11July07_chi" xfId="740" xr:uid="{FD706749-2EF4-4F39-933B-6435A2CF5B82}"/>
    <cellStyle name="_rev_cogs build_Project Norway model v28_Pelican - Profit Forecast template 29July07" xfId="741" xr:uid="{6C219C6A-C36F-470C-ABA1-A38FE1E8D5E2}"/>
    <cellStyle name="_rev_cogs build_Project Norway model v28_Pelican - Profit Forecast template 30July07" xfId="742" xr:uid="{6459025A-DC43-45E7-818F-5F2176580222}"/>
    <cellStyle name="_rev_cogs build_Project Norway model v28_pelican.xls" xfId="743" xr:uid="{9E953A5D-F558-4D0B-A3D0-793C86F2453B}"/>
    <cellStyle name="_rev_cogs build_Project Norway model v33" xfId="744" xr:uid="{AD15DECB-5032-462C-98B3-E7D8D9E4802B}"/>
    <cellStyle name="_rev_cogs build_Project Norway model v33_LVGEM project inputs" xfId="745" xr:uid="{B0D8C2A3-6537-47BA-AA74-48D57819C5C3}"/>
    <cellStyle name="_rev_cogs build_Project Norway model v33_pelican" xfId="746" xr:uid="{6FC84458-5D12-4E40-9F7D-A5A08678B723}"/>
    <cellStyle name="_rev_cogs build_Project Norway model v33_Pelican - Profit Forecast 3Aug07" xfId="747" xr:uid="{212EC706-0E47-44D5-8CC0-44CFB68A13C7}"/>
    <cellStyle name="_rev_cogs build_Project Norway model v33_Pelican - Profit Forecast template 11July07_chi" xfId="748" xr:uid="{005E4B28-40AE-4A65-8995-B9B67F2173EE}"/>
    <cellStyle name="_rev_cogs build_Project Norway model v33_Pelican - Profit Forecast template 29July07" xfId="749" xr:uid="{147A0CEE-69B5-479B-A7C7-6857D665AD09}"/>
    <cellStyle name="_rev_cogs build_Project Norway model v33_Pelican - Profit Forecast template 30July07" xfId="750" xr:uid="{CA6562B2-D242-47E9-8675-130D777B0604}"/>
    <cellStyle name="_rev_cogs build_Project Norway model v33_pelican.xls" xfId="751" xr:uid="{1F2355E2-B7AD-4FDC-8439-C5D9EE1ABA2C}"/>
    <cellStyle name="_rev_cogs build_Project Norway model v46" xfId="752" xr:uid="{698766E1-DA42-4B1F-B22F-408BEDA25704}"/>
    <cellStyle name="_rev_cogs build_Project Norway model v46_LVGEM project inputs" xfId="753" xr:uid="{BEB73BD8-704D-495C-99EA-765062D34942}"/>
    <cellStyle name="_rev_cogs build_Project Norway model v46_pelican" xfId="754" xr:uid="{0E543291-ED9C-4223-A6CD-0139BD84F4B0}"/>
    <cellStyle name="_rev_cogs build_Project Norway model v46_Pelican - Profit Forecast 3Aug07" xfId="755" xr:uid="{EC14CCA3-FCA1-4B62-A127-B893FB0ACC25}"/>
    <cellStyle name="_rev_cogs build_Project Norway model v46_Pelican - Profit Forecast template 11July07_chi" xfId="756" xr:uid="{85E5099B-46D0-49EC-A21C-C53ABBD59B4C}"/>
    <cellStyle name="_rev_cogs build_Project Norway model v46_Pelican - Profit Forecast template 29July07" xfId="757" xr:uid="{DB89B538-FE3C-4D09-8F1F-9DF143866F02}"/>
    <cellStyle name="_rev_cogs build_Project Norway model v46_Pelican - Profit Forecast template 30July07" xfId="758" xr:uid="{B20B6726-3E9F-4FC8-AD95-9AB8B9271FB7}"/>
    <cellStyle name="_rev_cogs build_Project Norway model v46_pelican.xls" xfId="759" xr:uid="{499B5855-F4FC-4A0D-A994-476E44671B26}"/>
    <cellStyle name="_Sole mio model 050718 formal V2" xfId="760" xr:uid="{C99AE38F-5C67-488F-B310-0006200BCEED}"/>
    <cellStyle name="_Sole mio model 050718 formal V2_LVGEM project inputs" xfId="761" xr:uid="{9912AEBE-54D9-4167-A2DE-3CCD979DD3E8}"/>
    <cellStyle name="_Sole mio model 050718 formal V2_pelican" xfId="762" xr:uid="{F9B78F5A-38CC-4173-B1E7-84EDA039509D}"/>
    <cellStyle name="_Sole mio model 050718 formal V2_Pelican - Profit Forecast 3Aug07" xfId="763" xr:uid="{8EA5088F-AB36-4183-BF48-798B2D2DB358}"/>
    <cellStyle name="_Sole mio model 050718 formal V2_Pelican - Profit Forecast template 11July07_chi" xfId="764" xr:uid="{67005EC9-B8FF-4DE7-AD50-7F8C48ADDE63}"/>
    <cellStyle name="_Sole mio model 050718 formal V2_Pelican - Profit Forecast template 29July07" xfId="765" xr:uid="{647BD545-0487-461C-9A20-6C691DD8F767}"/>
    <cellStyle name="_Sole mio model 050718 formal V2_Pelican - Profit Forecast template 30July07" xfId="766" xr:uid="{2334170A-9D47-464E-81AE-266B0D3B63C4}"/>
    <cellStyle name="_Sole mio model 050718 formal V2_pelican.xls" xfId="767" xr:uid="{FEC2854F-5089-4E99-8F11-7A31A8ED3B89}"/>
    <cellStyle name="_Sole mio model 050718 formal V2_Project Norway model v20 (consolidated cash)" xfId="768" xr:uid="{ACA0CF94-162D-4E35-BCB6-BC011F6CD9E0}"/>
    <cellStyle name="_Sole mio model 050718 formal V2_Project Norway model v20 (consolidated cash)_LVGEM project inputs" xfId="769" xr:uid="{29AFB1F9-004F-480C-9FC6-34F8515F6723}"/>
    <cellStyle name="_Sole mio model 050718 formal V2_Project Norway model v20 (consolidated cash)_pelican" xfId="770" xr:uid="{A1BF8D7B-61DF-42C1-BFBB-09C779228E64}"/>
    <cellStyle name="_Sole mio model 050718 formal V2_Project Norway model v20 (consolidated cash)_Pelican - Profit Forecast 3Aug07" xfId="771" xr:uid="{B7B85BFA-9318-483B-B995-B6F688907232}"/>
    <cellStyle name="_Sole mio model 050718 formal V2_Project Norway model v20 (consolidated cash)_Pelican - Profit Forecast template 11July07_chi" xfId="772" xr:uid="{10D15526-D682-4772-A5BE-FAAB5092EEBC}"/>
    <cellStyle name="_Sole mio model 050718 formal V2_Project Norway model v20 (consolidated cash)_Pelican - Profit Forecast template 29July07" xfId="773" xr:uid="{E0C4B923-4786-49BC-AAAB-CFD77A5FE700}"/>
    <cellStyle name="_Sole mio model 050718 formal V2_Project Norway model v20 (consolidated cash)_Pelican - Profit Forecast template 30July07" xfId="774" xr:uid="{B6A44832-2244-4E80-B6C7-48DFAD7869F1}"/>
    <cellStyle name="_Sole mio model 050718 formal V2_Project Norway model v20 (consolidated cash)_pelican.xls" xfId="775" xr:uid="{E25CC7A1-80C9-43AE-ABE9-9CDEA0A86EF1}"/>
    <cellStyle name="_Sole mio model 050718 formal V2_Project Norway model v28" xfId="776" xr:uid="{7B0444A8-CE25-46B8-9F75-1BA9BDDC462D}"/>
    <cellStyle name="_Sole mio model 050718 formal V2_Project Norway model v28_LVGEM project inputs" xfId="777" xr:uid="{1CE66DA1-857D-4341-87D6-3D8AFE68E674}"/>
    <cellStyle name="_Sole mio model 050718 formal V2_Project Norway model v28_pelican" xfId="778" xr:uid="{27EC93C6-D486-4E66-BC81-E62DE7AAA255}"/>
    <cellStyle name="_Sole mio model 050718 formal V2_Project Norway model v28_Pelican - Profit Forecast 3Aug07" xfId="779" xr:uid="{C9348E45-F0F1-485B-A395-7451EE599AD3}"/>
    <cellStyle name="_Sole mio model 050718 formal V2_Project Norway model v28_Pelican - Profit Forecast template 11July07_chi" xfId="780" xr:uid="{3D6E72B7-31DE-4513-AA34-15C4D3A32B6B}"/>
    <cellStyle name="_Sole mio model 050718 formal V2_Project Norway model v28_Pelican - Profit Forecast template 29July07" xfId="781" xr:uid="{B958049B-89C0-4295-9FE2-BC236C2ECA00}"/>
    <cellStyle name="_Sole mio model 050718 formal V2_Project Norway model v28_Pelican - Profit Forecast template 30July07" xfId="782" xr:uid="{89C5FBC2-F157-49A8-8459-C2B53F4E3C37}"/>
    <cellStyle name="_Sole mio model 050718 formal V2_Project Norway model v28_pelican.xls" xfId="783" xr:uid="{7CF8A5C2-A570-4639-935F-6330904C2D30}"/>
    <cellStyle name="_Sole mio model 050718 formal V2_Project Norway model v33" xfId="784" xr:uid="{93FCF818-11D4-4517-948D-559591259195}"/>
    <cellStyle name="_Sole mio model 050718 formal V2_Project Norway model v33_LVGEM project inputs" xfId="785" xr:uid="{E5772801-F518-4E62-8674-41B063017FCB}"/>
    <cellStyle name="_Sole mio model 050718 formal V2_Project Norway model v33_pelican" xfId="786" xr:uid="{507BDEB9-E0E7-4BB3-923A-97A846AC545B}"/>
    <cellStyle name="_Sole mio model 050718 formal V2_Project Norway model v33_Pelican - Profit Forecast 3Aug07" xfId="787" xr:uid="{4C6AAB37-D9D4-4A7F-A637-ABD60D368568}"/>
    <cellStyle name="_Sole mio model 050718 formal V2_Project Norway model v33_Pelican - Profit Forecast template 11July07_chi" xfId="788" xr:uid="{9929BE94-3528-4EF4-9B20-376168142199}"/>
    <cellStyle name="_Sole mio model 050718 formal V2_Project Norway model v33_Pelican - Profit Forecast template 29July07" xfId="789" xr:uid="{27FE1A6D-6B99-4A6E-B15D-68C3E32AB966}"/>
    <cellStyle name="_Sole mio model 050718 formal V2_Project Norway model v33_Pelican - Profit Forecast template 30July07" xfId="790" xr:uid="{A23C27F8-AA5E-456D-8336-B269112F93D6}"/>
    <cellStyle name="_Sole mio model 050718 formal V2_Project Norway model v33_pelican.xls" xfId="791" xr:uid="{B73586AC-CEF4-4BF8-8D6E-83304E6E7844}"/>
    <cellStyle name="_Sole mio model 050718 formal V2_Project Norway model v46" xfId="792" xr:uid="{0D1FE075-36BD-4FCD-B5FC-77E57CFC5AE8}"/>
    <cellStyle name="_Sole mio model 050718 formal V2_Project Norway model v46_LVGEM project inputs" xfId="793" xr:uid="{3ED9976E-2402-46EF-94B7-608067B1C2DA}"/>
    <cellStyle name="_Sole mio model 050718 formal V2_Project Norway model v46_pelican" xfId="794" xr:uid="{490278F4-5064-4906-B6BB-88B207D6BA10}"/>
    <cellStyle name="_Sole mio model 050718 formal V2_Project Norway model v46_Pelican - Profit Forecast 3Aug07" xfId="795" xr:uid="{E3C9D1BF-84B2-4BFD-BF07-1C982349C8E6}"/>
    <cellStyle name="_Sole mio model 050718 formal V2_Project Norway model v46_Pelican - Profit Forecast template 11July07_chi" xfId="796" xr:uid="{54D1B506-F7C1-49D6-84EE-71FA2F8E8096}"/>
    <cellStyle name="_Sole mio model 050718 formal V2_Project Norway model v46_Pelican - Profit Forecast template 29July07" xfId="797" xr:uid="{F0DA1882-4993-4CF7-A217-963F42156332}"/>
    <cellStyle name="_Sole mio model 050718 formal V2_Project Norway model v46_Pelican - Profit Forecast template 30July07" xfId="798" xr:uid="{CB2B6D6C-F5E2-4588-8038-F6FB5EDB9111}"/>
    <cellStyle name="_Sole mio model 050718 formal V2_Project Norway model v46_pelican.xls" xfId="799" xr:uid="{22CFEE3F-F4C6-48CE-9D0B-E3DE7452F5A9}"/>
    <cellStyle name="_Sole mio model_ MS" xfId="800" xr:uid="{76C55A6E-14AE-4B30-ACE3-C1E55C1A2920}"/>
    <cellStyle name="_Sole mio model_ MS_LVGEM project inputs" xfId="801" xr:uid="{D4115F71-1DD0-4DD8-AC4F-6BB0737ED5F6}"/>
    <cellStyle name="_Sole mio model_ MS_pelican" xfId="802" xr:uid="{61D10BC2-5620-44E4-AA51-3BBED852F82D}"/>
    <cellStyle name="_Sole mio model_ MS_Pelican - Profit Forecast 3Aug07" xfId="803" xr:uid="{E2765C4A-6DD8-4110-808D-AD1D829D67AA}"/>
    <cellStyle name="_Sole mio model_ MS_Pelican - Profit Forecast template 11July07_chi" xfId="804" xr:uid="{2284B4FB-1091-4AF1-9E13-AC8E647B02F5}"/>
    <cellStyle name="_Sole mio model_ MS_Pelican - Profit Forecast template 29July07" xfId="805" xr:uid="{D2273BCB-38D7-4E4A-A6E4-F6037AFF90AF}"/>
    <cellStyle name="_Sole mio model_ MS_Pelican - Profit Forecast template 30July07" xfId="806" xr:uid="{4ABDF26D-A59C-4470-A592-7E79A7903B30}"/>
    <cellStyle name="_Sole mio model_ MS_pelican.xls" xfId="807" xr:uid="{8DEA37B6-5387-4163-B657-7A144BCF7779}"/>
    <cellStyle name="_Sole mio model_ MS_Project Norway model v20 (consolidated cash)" xfId="808" xr:uid="{45033E80-0DCA-4460-9531-AB9F49E64CB6}"/>
    <cellStyle name="_Sole mio model_ MS_Project Norway model v20 (consolidated cash)_LVGEM project inputs" xfId="809" xr:uid="{933D291D-C7A9-4926-A24E-431827423D20}"/>
    <cellStyle name="_Sole mio model_ MS_Project Norway model v20 (consolidated cash)_pelican" xfId="810" xr:uid="{FFA554C5-DEA8-4285-B5ED-E62426713AB6}"/>
    <cellStyle name="_Sole mio model_ MS_Project Norway model v20 (consolidated cash)_Pelican - Profit Forecast 3Aug07" xfId="811" xr:uid="{BB69FE44-FEAF-4520-A187-BAF93AD6D607}"/>
    <cellStyle name="_Sole mio model_ MS_Project Norway model v20 (consolidated cash)_Pelican - Profit Forecast template 11July07_chi" xfId="812" xr:uid="{D575D4A4-95AC-4937-A563-EA78ABD1F903}"/>
    <cellStyle name="_Sole mio model_ MS_Project Norway model v20 (consolidated cash)_Pelican - Profit Forecast template 29July07" xfId="813" xr:uid="{5BC165A5-93A0-4938-97CF-6C3AAAB71929}"/>
    <cellStyle name="_Sole mio model_ MS_Project Norway model v20 (consolidated cash)_Pelican - Profit Forecast template 30July07" xfId="814" xr:uid="{CA64DCEF-153F-4A64-A110-3FC23C5D4867}"/>
    <cellStyle name="_Sole mio model_ MS_Project Norway model v20 (consolidated cash)_pelican.xls" xfId="815" xr:uid="{01643C2B-279F-4E9A-9C42-48179FA09FEC}"/>
    <cellStyle name="_Sole mio model_ MS_Project Norway model v28" xfId="816" xr:uid="{366C27A8-1365-484A-991F-CD50771ADD00}"/>
    <cellStyle name="_Sole mio model_ MS_Project Norway model v28_LVGEM project inputs" xfId="817" xr:uid="{9F7CFC7C-4AD8-4BFB-8AE6-EBB0A5433D01}"/>
    <cellStyle name="_Sole mio model_ MS_Project Norway model v28_pelican" xfId="818" xr:uid="{4C977585-F719-4AE8-8F83-41C64BEA8589}"/>
    <cellStyle name="_Sole mio model_ MS_Project Norway model v28_Pelican - Profit Forecast 3Aug07" xfId="819" xr:uid="{97B3A556-38FA-428D-8635-4EAFB9590399}"/>
    <cellStyle name="_Sole mio model_ MS_Project Norway model v28_Pelican - Profit Forecast template 11July07_chi" xfId="820" xr:uid="{ABE2B470-6460-4394-9D4C-4928010D4067}"/>
    <cellStyle name="_Sole mio model_ MS_Project Norway model v28_Pelican - Profit Forecast template 29July07" xfId="821" xr:uid="{700B491C-EE44-4624-8164-4F73025EFFF0}"/>
    <cellStyle name="_Sole mio model_ MS_Project Norway model v28_Pelican - Profit Forecast template 30July07" xfId="822" xr:uid="{6315BB92-E27E-4B4D-BDC0-C8B09AC32F31}"/>
    <cellStyle name="_Sole mio model_ MS_Project Norway model v28_pelican.xls" xfId="823" xr:uid="{C36F5300-1AE7-4703-93E7-38D72A7D22D0}"/>
    <cellStyle name="_Sole mio model_ MS_Project Norway model v33" xfId="824" xr:uid="{BE07EB95-56A7-4D7E-A24B-DB059D076C2E}"/>
    <cellStyle name="_Sole mio model_ MS_Project Norway model v33_LVGEM project inputs" xfId="825" xr:uid="{888B39E7-28FE-489F-AC76-1811F532C5D3}"/>
    <cellStyle name="_Sole mio model_ MS_Project Norway model v33_pelican" xfId="826" xr:uid="{8739887F-E846-474F-91BE-96E85CA5C870}"/>
    <cellStyle name="_Sole mio model_ MS_Project Norway model v33_Pelican - Profit Forecast 3Aug07" xfId="827" xr:uid="{76D5B760-85A7-4F9F-A037-EC292D0F9A7B}"/>
    <cellStyle name="_Sole mio model_ MS_Project Norway model v33_Pelican - Profit Forecast template 11July07_chi" xfId="828" xr:uid="{3A75ACE1-05CB-48E9-9BF6-383BB54EFD0A}"/>
    <cellStyle name="_Sole mio model_ MS_Project Norway model v33_Pelican - Profit Forecast template 29July07" xfId="829" xr:uid="{9D2A3386-55B9-4171-AB32-6F7E10F67687}"/>
    <cellStyle name="_Sole mio model_ MS_Project Norway model v33_Pelican - Profit Forecast template 30July07" xfId="830" xr:uid="{F844BEE4-8908-4BEA-BBF4-75EAC6F2C6CF}"/>
    <cellStyle name="_Sole mio model_ MS_Project Norway model v33_pelican.xls" xfId="831" xr:uid="{29082754-0CB5-4ECE-BB4B-ABA494ADD496}"/>
    <cellStyle name="_Sole mio model_ MS_Project Norway model v46" xfId="832" xr:uid="{E93AB76F-10FC-45EB-A6C6-E34BD6D02196}"/>
    <cellStyle name="_Sole mio model_ MS_Project Norway model v46_LVGEM project inputs" xfId="833" xr:uid="{8A2EBD41-3C3D-409C-B681-10425CCECF98}"/>
    <cellStyle name="_Sole mio model_ MS_Project Norway model v46_pelican" xfId="834" xr:uid="{A438E923-B15F-424F-B8A5-96C701878CFC}"/>
    <cellStyle name="_Sole mio model_ MS_Project Norway model v46_Pelican - Profit Forecast 3Aug07" xfId="835" xr:uid="{E4E24D90-F13B-4319-B72E-C386A9E707DC}"/>
    <cellStyle name="_Sole mio model_ MS_Project Norway model v46_Pelican - Profit Forecast template 11July07_chi" xfId="836" xr:uid="{38E322BC-680A-4D06-A668-1AE373B19F3D}"/>
    <cellStyle name="_Sole mio model_ MS_Project Norway model v46_Pelican - Profit Forecast template 29July07" xfId="837" xr:uid="{F12DFEF1-5455-46F9-8828-A0ABD3C2F100}"/>
    <cellStyle name="_Sole mio model_ MS_Project Norway model v46_Pelican - Profit Forecast template 30July07" xfId="838" xr:uid="{71A3A961-555E-40BB-ADC1-1ECDB89310B5}"/>
    <cellStyle name="_Sole mio model_ MS_Project Norway model v46_pelican.xls" xfId="839" xr:uid="{9CD5427B-B8EA-4A9A-85FA-79CF2816060A}"/>
    <cellStyle name="_Sole mio model_ v20" xfId="840" xr:uid="{FE18CD31-508A-406A-B514-83819C2F15F7}"/>
    <cellStyle name="_Sole mio model_ v20_LVGEM project inputs" xfId="841" xr:uid="{3FD28AAD-65F6-4953-8EE1-9814E8D7B9EA}"/>
    <cellStyle name="_Sole mio model_ v20_pelican" xfId="842" xr:uid="{F82DADE9-A9A0-434F-AAE7-790F9164E0CA}"/>
    <cellStyle name="_Sole mio model_ v20_Pelican - Profit Forecast 3Aug07" xfId="843" xr:uid="{1A28B0FA-E289-4C81-B710-778AD7E0E390}"/>
    <cellStyle name="_Sole mio model_ v20_Pelican - Profit Forecast template 11July07_chi" xfId="844" xr:uid="{82F08F7B-DF08-4AEE-8DA4-2E1F4996D075}"/>
    <cellStyle name="_Sole mio model_ v20_Pelican - Profit Forecast template 29July07" xfId="845" xr:uid="{2FADE490-9F86-4B6C-AC66-43104C88D5F2}"/>
    <cellStyle name="_Sole mio model_ v20_Pelican - Profit Forecast template 30July07" xfId="846" xr:uid="{63552B64-94AA-4F18-BB99-1EC9EC2E2141}"/>
    <cellStyle name="_Sole mio model_ v20_pelican.xls" xfId="847" xr:uid="{A0FD92A5-63D2-4354-86DB-C09E9F4027B0}"/>
    <cellStyle name="_Sole mio model_ v20_Project Norway model v20 (consolidated cash)" xfId="848" xr:uid="{A2395973-D9AD-4FA9-81FD-4DA70E5D5877}"/>
    <cellStyle name="_Sole mio model_ v20_Project Norway model v20 (consolidated cash)_LVGEM project inputs" xfId="849" xr:uid="{026D2A1D-8906-4DEB-884E-C9DE647D7C1E}"/>
    <cellStyle name="_Sole mio model_ v20_Project Norway model v20 (consolidated cash)_pelican" xfId="850" xr:uid="{366ED447-48BA-4CBA-B813-4484870943AC}"/>
    <cellStyle name="_Sole mio model_ v20_Project Norway model v20 (consolidated cash)_Pelican - Profit Forecast 3Aug07" xfId="851" xr:uid="{1FF59941-B3A8-43D0-9379-ACE112CAE234}"/>
    <cellStyle name="_Sole mio model_ v20_Project Norway model v20 (consolidated cash)_Pelican - Profit Forecast template 11July07_chi" xfId="852" xr:uid="{D6DF0236-EFB1-49E6-9180-E9C27778A807}"/>
    <cellStyle name="_Sole mio model_ v20_Project Norway model v20 (consolidated cash)_Pelican - Profit Forecast template 29July07" xfId="853" xr:uid="{11E91E1E-36F6-466C-84A1-D31F0D550F61}"/>
    <cellStyle name="_Sole mio model_ v20_Project Norway model v20 (consolidated cash)_Pelican - Profit Forecast template 30July07" xfId="854" xr:uid="{FA40E326-8D74-4098-97CC-EFB1FA9A521A}"/>
    <cellStyle name="_Sole mio model_ v20_Project Norway model v20 (consolidated cash)_pelican.xls" xfId="855" xr:uid="{678DE48F-453F-44AE-8A9B-CD18FB8273CD}"/>
    <cellStyle name="_Sole mio model_ v20_Project Norway model v28" xfId="856" xr:uid="{DDDF3E42-13DE-4A13-BE38-14F0FEC4AFD8}"/>
    <cellStyle name="_Sole mio model_ v20_Project Norway model v28_LVGEM project inputs" xfId="857" xr:uid="{5F61BFA5-01F4-480C-9BB0-B31347A78167}"/>
    <cellStyle name="_Sole mio model_ v20_Project Norway model v28_pelican" xfId="858" xr:uid="{33813E10-9476-4AFD-B816-D736EA5692E8}"/>
    <cellStyle name="_Sole mio model_ v20_Project Norway model v28_Pelican - Profit Forecast 3Aug07" xfId="859" xr:uid="{353AC568-5F9A-4A5F-BC82-1666945084C2}"/>
    <cellStyle name="_Sole mio model_ v20_Project Norway model v28_Pelican - Profit Forecast template 11July07_chi" xfId="860" xr:uid="{34C7E18A-E00C-41D9-B228-E814D4354096}"/>
    <cellStyle name="_Sole mio model_ v20_Project Norway model v28_Pelican - Profit Forecast template 29July07" xfId="861" xr:uid="{41D0CBAE-D947-4565-BCB8-D5C17EEA9072}"/>
    <cellStyle name="_Sole mio model_ v20_Project Norway model v28_Pelican - Profit Forecast template 30July07" xfId="862" xr:uid="{9E0FDF7B-C073-4DE9-B6E5-E73AEC45B461}"/>
    <cellStyle name="_Sole mio model_ v20_Project Norway model v28_pelican.xls" xfId="863" xr:uid="{8D40E332-31F1-4694-AB67-29A048468F66}"/>
    <cellStyle name="_Sole mio model_ v20_Project Norway model v33" xfId="864" xr:uid="{5A388C99-D865-42EA-A750-925D4D114630}"/>
    <cellStyle name="_Sole mio model_ v20_Project Norway model v33_LVGEM project inputs" xfId="865" xr:uid="{ACF541A0-7F95-4D05-9B99-2D4BFA6C5883}"/>
    <cellStyle name="_Sole mio model_ v20_Project Norway model v33_pelican" xfId="866" xr:uid="{D7439454-6159-48CE-BE99-3A2ABE8432E8}"/>
    <cellStyle name="_Sole mio model_ v20_Project Norway model v33_Pelican - Profit Forecast 3Aug07" xfId="867" xr:uid="{53026690-49BF-46E7-A04A-627F095919FD}"/>
    <cellStyle name="_Sole mio model_ v20_Project Norway model v33_Pelican - Profit Forecast template 11July07_chi" xfId="868" xr:uid="{0C70DE07-240A-4EDD-8175-CDD27F5E614C}"/>
    <cellStyle name="_Sole mio model_ v20_Project Norway model v33_Pelican - Profit Forecast template 29July07" xfId="869" xr:uid="{D751A79B-BC2A-43A1-9367-EB21BFE32F6A}"/>
    <cellStyle name="_Sole mio model_ v20_Project Norway model v33_Pelican - Profit Forecast template 30July07" xfId="870" xr:uid="{8DD86060-1700-4D45-AF9C-EC733D6D8768}"/>
    <cellStyle name="_Sole mio model_ v20_Project Norway model v33_pelican.xls" xfId="871" xr:uid="{9CC12099-C1B9-4AFF-880B-DC1A08F04058}"/>
    <cellStyle name="_Sole mio model_ v20_Project Norway model v46" xfId="872" xr:uid="{FA66A2B4-CA5D-48BC-9A23-08F349A6965A}"/>
    <cellStyle name="_Sole mio model_ v20_Project Norway model v46_LVGEM project inputs" xfId="873" xr:uid="{60B6C7C0-A1B0-40D8-9A3F-31C40988527A}"/>
    <cellStyle name="_Sole mio model_ v20_Project Norway model v46_pelican" xfId="874" xr:uid="{7D95A50B-5604-4779-81C3-A385BF9E7E77}"/>
    <cellStyle name="_Sole mio model_ v20_Project Norway model v46_Pelican - Profit Forecast 3Aug07" xfId="875" xr:uid="{95104BD1-845D-40D1-9019-6039AC3D40BE}"/>
    <cellStyle name="_Sole mio model_ v20_Project Norway model v46_Pelican - Profit Forecast template 11July07_chi" xfId="876" xr:uid="{036AC890-98C4-4AA6-A260-93F509D57A49}"/>
    <cellStyle name="_Sole mio model_ v20_Project Norway model v46_Pelican - Profit Forecast template 29July07" xfId="877" xr:uid="{39C311C2-EF97-43A1-8904-F5E620E7F542}"/>
    <cellStyle name="_Sole mio model_ v20_Project Norway model v46_Pelican - Profit Forecast template 30July07" xfId="878" xr:uid="{94208FDA-6FE0-4FAB-AD3C-C12732FA8628}"/>
    <cellStyle name="_Sole mio model_ v20_Project Norway model v46_pelican.xls" xfId="879" xr:uid="{9656A626-8624-4782-81C6-A78B4648677D}"/>
    <cellStyle name="_SubHeading" xfId="880" xr:uid="{802B6EA8-78D0-4778-806A-A2568D6F4A7B}"/>
    <cellStyle name="_SubHeading_060224_Pearlshell_DCF_Prelim" xfId="881" xr:uid="{D5F73140-CB0A-4AD4-BD30-E963C29625EA}"/>
    <cellStyle name="_SubHeading_060224_Pearlshell_DCF_Prelim_LVGEM project inputs" xfId="882" xr:uid="{5F534BD6-FD45-4F91-BF93-CDE746EEA5E6}"/>
    <cellStyle name="_SubHeading_060224_Pearlshell_DCF_Prelim_pelican" xfId="883" xr:uid="{9E4DE8BE-8AFE-4897-AC37-C5AF9D2C7A40}"/>
    <cellStyle name="_SubHeading_060224_Pearlshell_DCF_Prelim_Pelican - Profit Forecast 3Aug07" xfId="884" xr:uid="{AADABE97-DCEC-4C26-BEC9-325BDC74B5DE}"/>
    <cellStyle name="_SubHeading_060224_Pearlshell_DCF_Prelim_Pelican - Profit Forecast template 11July07_chi" xfId="885" xr:uid="{2EEE5153-F8CD-4F53-90A0-CB4650FA4D84}"/>
    <cellStyle name="_SubHeading_060224_Pearlshell_DCF_Prelim_Pelican - Profit Forecast template 29July07" xfId="886" xr:uid="{47A1281B-354B-4D3A-A8FA-816E41F3ACE1}"/>
    <cellStyle name="_SubHeading_060224_Pearlshell_DCF_Prelim_Pelican - Profit Forecast template 30July07" xfId="887" xr:uid="{1C7D06CF-7F2B-44F9-9E30-CD165B1F3FB5}"/>
    <cellStyle name="_SubHeading_060224_Pearlshell_DCF_Prelim_pelican.xls" xfId="888" xr:uid="{00E8D1CF-F880-45CC-BAD3-F36F21AF2BCA}"/>
    <cellStyle name="_SubHeading_060225_Pearlshell_DCF_Prelim_V4" xfId="889" xr:uid="{D65085F7-AB34-4DBF-8F41-7D510474B7B5}"/>
    <cellStyle name="_SubHeading_060225_Pearlshell_DCF_Prelim_V4_LVGEM project inputs" xfId="890" xr:uid="{4799AC0C-7CAE-4C18-9618-BBFECBBE3D48}"/>
    <cellStyle name="_SubHeading_060225_Pearlshell_DCF_Prelim_V4_pelican" xfId="891" xr:uid="{2F55D519-5E18-4A43-8AF3-BE511905B20A}"/>
    <cellStyle name="_SubHeading_060225_Pearlshell_DCF_Prelim_V4_Pelican - Profit Forecast 3Aug07" xfId="892" xr:uid="{38121B12-35E0-41E2-9C5B-AB122A2949AB}"/>
    <cellStyle name="_SubHeading_060225_Pearlshell_DCF_Prelim_V4_Pelican - Profit Forecast template 11July07_chi" xfId="893" xr:uid="{ED0B30DA-5DC9-4550-852C-828DBFE68AF9}"/>
    <cellStyle name="_SubHeading_060225_Pearlshell_DCF_Prelim_V4_Pelican - Profit Forecast template 29July07" xfId="894" xr:uid="{671B9F85-D937-4947-8177-C97C3FE364EB}"/>
    <cellStyle name="_SubHeading_060225_Pearlshell_DCF_Prelim_V4_Pelican - Profit Forecast template 30July07" xfId="895" xr:uid="{3E65E8B3-F3C8-4EBB-8A8E-AAEE7CB1C420}"/>
    <cellStyle name="_SubHeading_060225_Pearlshell_DCF_Prelim_V4_pelican.xls" xfId="896" xr:uid="{F0D4B66E-457C-4BC9-A5EC-11DFCC984033}"/>
    <cellStyle name="_SubHeading_060225_Pearlshell_DCF_Prelim_V4_Project Sunflower v24" xfId="897" xr:uid="{C3AF7357-4D79-479E-BB56-4334012CF0B5}"/>
    <cellStyle name="_SubHeading_060225_Pearlshell_DCF_Prelim_V4_Project Sunflower v24_LVGEM project inputs" xfId="898" xr:uid="{B7B0DF11-2B01-4BC0-BDF4-E06B5CD0BB8D}"/>
    <cellStyle name="_SubHeading_060225_Pearlshell_DCF_Prelim_V4_Project Sunflower v24_pelican" xfId="899" xr:uid="{E0AB35B8-778B-470B-B715-DCF4F382E1CD}"/>
    <cellStyle name="_SubHeading_060225_Pearlshell_DCF_Prelim_V4_Project Sunflower v24_Pelican - Profit Forecast 3Aug07" xfId="900" xr:uid="{B7E2E1AF-5F1E-4B26-810F-A7BA8A7ACC3A}"/>
    <cellStyle name="_SubHeading_060225_Pearlshell_DCF_Prelim_V4_Project Sunflower v24_Pelican - Profit Forecast template 11July07_chi" xfId="901" xr:uid="{0D9101A5-198C-4885-9133-15545268AFCD}"/>
    <cellStyle name="_SubHeading_060225_Pearlshell_DCF_Prelim_V4_Project Sunflower v24_Pelican - Profit Forecast template 29July07" xfId="902" xr:uid="{5D1AA181-60CC-4CCF-A22A-F0137026FE11}"/>
    <cellStyle name="_SubHeading_060225_Pearlshell_DCF_Prelim_V4_Project Sunflower v24_Pelican - Profit Forecast template 30July07" xfId="903" xr:uid="{C9962152-3CA9-4A89-90E0-5313DEA5BDF9}"/>
    <cellStyle name="_SubHeading_060225_Pearlshell_DCF_Prelim_V4_Project Sunflower v24_pelican.xls" xfId="904" xr:uid="{6B54897F-39F2-404C-A806-618A34D326CB}"/>
    <cellStyle name="_SubHeading_060225_Pearlshell_DCF_Prelim_V4_Project Sunflower v25" xfId="905" xr:uid="{A48F6F89-664A-4F1B-91E6-9B6F26E48CFB}"/>
    <cellStyle name="_SubHeading_060225_Pearlshell_DCF_Prelim_V4_Project Sunflower v25_LVGEM project inputs" xfId="906" xr:uid="{84EC9FBB-7575-4490-A2A4-9E82F284B043}"/>
    <cellStyle name="_SubHeading_060225_Pearlshell_DCF_Prelim_V4_Project Sunflower v25_pelican" xfId="907" xr:uid="{6BFF7CA8-71A8-4DA3-92CD-74759A8FF911}"/>
    <cellStyle name="_SubHeading_060225_Pearlshell_DCF_Prelim_V4_Project Sunflower v25_Pelican - Profit Forecast 3Aug07" xfId="908" xr:uid="{2D53C44D-4B95-4265-9DDE-4486935CFB69}"/>
    <cellStyle name="_SubHeading_060225_Pearlshell_DCF_Prelim_V4_Project Sunflower v25_Pelican - Profit Forecast template 11July07_chi" xfId="909" xr:uid="{36213F6B-21C9-416C-B724-E896412D7048}"/>
    <cellStyle name="_SubHeading_060225_Pearlshell_DCF_Prelim_V4_Project Sunflower v25_Pelican - Profit Forecast template 29July07" xfId="910" xr:uid="{3060EE4F-B356-47A7-BA21-463753D2E118}"/>
    <cellStyle name="_SubHeading_060225_Pearlshell_DCF_Prelim_V4_Project Sunflower v25_Pelican - Profit Forecast template 30July07" xfId="911" xr:uid="{5CDA095D-3FC1-4EAA-971A-A21DFBB1A709}"/>
    <cellStyle name="_SubHeading_060225_Pearlshell_DCF_Prelim_V4_Project Sunflower v25_pelican.xls" xfId="912" xr:uid="{38BBCC3C-6130-41CD-8F62-B14F8FB2830C}"/>
    <cellStyle name="_SubHeading_070201_Blog_Model v12" xfId="913" xr:uid="{7383C26F-6E23-4FA9-BF25-125B9950F5D7}"/>
    <cellStyle name="_SubHeading_070201_Blog_Model v12_LVGEM project inputs" xfId="914" xr:uid="{9B75FF10-F118-4866-99CF-538A0EF1A138}"/>
    <cellStyle name="_SubHeading_070201_Blog_Model v12_pelican" xfId="915" xr:uid="{557405C7-5E11-4803-BC2C-279F125E03E5}"/>
    <cellStyle name="_SubHeading_070201_Blog_Model v12_Pelican - Profit Forecast 3Aug07" xfId="916" xr:uid="{56CFD3C3-696A-4450-A8D8-07B71C5448CE}"/>
    <cellStyle name="_SubHeading_070201_Blog_Model v12_Pelican - Profit Forecast template 11July07_chi" xfId="917" xr:uid="{88618E98-EB53-47C1-B43E-47C0101687D5}"/>
    <cellStyle name="_SubHeading_070201_Blog_Model v12_Pelican - Profit Forecast template 29July07" xfId="918" xr:uid="{9303DE8A-A88B-4F37-B7C4-390E1379F82B}"/>
    <cellStyle name="_SubHeading_070201_Blog_Model v12_Pelican - Profit Forecast template 30July07" xfId="919" xr:uid="{D0546F5D-4F87-4EDE-8EDC-77EBF1DB01CC}"/>
    <cellStyle name="_SubHeading_070201_Blog_Model v12_pelican.xls" xfId="920" xr:uid="{9DA31EE7-12BC-4730-BCE5-7D9E0FB01C38}"/>
    <cellStyle name="_SubHeading_11_26  Project Homerun Model v4_NAV" xfId="921" xr:uid="{3F260CC3-F1CD-4506-B9AD-B42C49119F5D}"/>
    <cellStyle name="_SubHeading_11_26  Project Homerun Model v4_NAV_LVGEM project inputs" xfId="922" xr:uid="{372DC699-8A69-45B5-996D-67B8570A863F}"/>
    <cellStyle name="_SubHeading_11_26  Project Homerun Model v4_NAV_pelican" xfId="923" xr:uid="{83F06DEC-500A-47AA-AFEE-0567D84F4903}"/>
    <cellStyle name="_SubHeading_11_26  Project Homerun Model v4_NAV_Pelican - Profit Forecast 3Aug07" xfId="924" xr:uid="{8088B101-9299-46E1-82A4-5067A362A45D}"/>
    <cellStyle name="_SubHeading_11_26  Project Homerun Model v4_NAV_Pelican - Profit Forecast template 11July07_chi" xfId="925" xr:uid="{31948640-6014-4EAE-B157-3043853E1F00}"/>
    <cellStyle name="_SubHeading_11_26  Project Homerun Model v4_NAV_Pelican - Profit Forecast template 29July07" xfId="926" xr:uid="{7F62F56F-9A80-4554-A306-FEC276CF68E1}"/>
    <cellStyle name="_SubHeading_11_26  Project Homerun Model v4_NAV_Pelican - Profit Forecast template 30July07" xfId="927" xr:uid="{5C3D200F-C36C-4EF0-BC7F-A53C7E3ADE48}"/>
    <cellStyle name="_SubHeading_11_26  Project Homerun Model v4_NAV_pelican.xls" xfId="928" xr:uid="{16901B10-1FBC-45D6-8DF3-27D154BA347D}"/>
    <cellStyle name="_SubHeading_avp" xfId="929" xr:uid="{BBFDB457-DC87-4D3C-B994-F4E6DD14BE6F}"/>
    <cellStyle name="_SubHeading_avp_LVGEM project inputs" xfId="930" xr:uid="{CEB019C3-5A94-4B3D-AB89-D92B440F2700}"/>
    <cellStyle name="_SubHeading_avp_pelican" xfId="931" xr:uid="{914434C1-791E-4AF2-9F23-B7DB8A15B00D}"/>
    <cellStyle name="_SubHeading_avp_Pelican - Profit Forecast 3Aug07" xfId="932" xr:uid="{27BCD6D2-0DA4-48BD-8604-5C882FBCDD6C}"/>
    <cellStyle name="_SubHeading_avp_Pelican - Profit Forecast template 11July07_chi" xfId="933" xr:uid="{6B93F1EB-9A3B-4CF4-9298-B2A144CC8A20}"/>
    <cellStyle name="_SubHeading_avp_Pelican - Profit Forecast template 29July07" xfId="934" xr:uid="{CC01D1EB-165B-4469-AD42-5D9ADAD00C16}"/>
    <cellStyle name="_SubHeading_avp_Pelican - Profit Forecast template 30July07" xfId="935" xr:uid="{CC6C0360-BA92-45DD-9C80-9FDBC01C6B41}"/>
    <cellStyle name="_SubHeading_avp_pelican.xls" xfId="936" xr:uid="{5CDDF723-7969-48FA-8B25-8E577878EFC3}"/>
    <cellStyle name="_SubHeading_beta" xfId="937" xr:uid="{72123415-E96E-4AAC-B991-747EFFA260C2}"/>
    <cellStyle name="_SubHeading_beta_LVGEM project inputs" xfId="938" xr:uid="{E950A4DB-3E3C-4361-B6AC-A711FA76D0AD}"/>
    <cellStyle name="_SubHeading_beta_pelican" xfId="939" xr:uid="{FAAC7BA1-55FD-4D42-A8E4-BD0FEC652473}"/>
    <cellStyle name="_SubHeading_beta_Pelican - Profit Forecast 3Aug07" xfId="940" xr:uid="{5F7EE860-62C1-4990-8E0A-DFCAEAE26679}"/>
    <cellStyle name="_SubHeading_beta_Pelican - Profit Forecast template 11July07_chi" xfId="941" xr:uid="{00A517E1-359F-4029-8714-72876F156277}"/>
    <cellStyle name="_SubHeading_beta_Pelican - Profit Forecast template 29July07" xfId="942" xr:uid="{A2E70B3B-7E65-48C8-A55F-8BDEE6D3BE0D}"/>
    <cellStyle name="_SubHeading_beta_Pelican - Profit Forecast template 30July07" xfId="943" xr:uid="{6F1704B8-F6A7-4071-BC62-3C325AD89606}"/>
    <cellStyle name="_SubHeading_beta_pelican.xls" xfId="944" xr:uid="{02C35048-51DD-4FEE-A4F7-24BBFDAEB999}"/>
    <cellStyle name="_SubHeading_beta_Project Sunflower v24" xfId="945" xr:uid="{912EC26D-20B2-4567-A286-DBF040C0ED15}"/>
    <cellStyle name="_SubHeading_beta_Project Sunflower v24_LVGEM project inputs" xfId="946" xr:uid="{FB33DCC3-D841-49DA-A057-6C0A6197DA72}"/>
    <cellStyle name="_SubHeading_beta_Project Sunflower v24_pelican" xfId="947" xr:uid="{9ADAB747-5663-44C9-A416-54E6A15D7393}"/>
    <cellStyle name="_SubHeading_beta_Project Sunflower v24_Pelican - Profit Forecast 3Aug07" xfId="948" xr:uid="{456C615F-7D83-4CE7-B2C7-79CE3568C8BC}"/>
    <cellStyle name="_SubHeading_beta_Project Sunflower v24_Pelican - Profit Forecast template 11July07_chi" xfId="949" xr:uid="{9CCF0775-6BAE-47F1-8F5D-835C864BB18A}"/>
    <cellStyle name="_SubHeading_beta_Project Sunflower v24_Pelican - Profit Forecast template 29July07" xfId="950" xr:uid="{B60CD261-9C64-4340-8BE3-FBD204752715}"/>
    <cellStyle name="_SubHeading_beta_Project Sunflower v24_Pelican - Profit Forecast template 30July07" xfId="951" xr:uid="{F05119EC-7DAA-47E9-8500-6E80E4C5F2F2}"/>
    <cellStyle name="_SubHeading_beta_Project Sunflower v24_pelican.xls" xfId="952" xr:uid="{CD97E3B4-EA2F-4EFB-AE4B-C9B8DBC6A6D6}"/>
    <cellStyle name="_SubHeading_beta_Project Sunflower v25" xfId="953" xr:uid="{EE1127E2-5DD6-4267-8D6D-02EE6C36B8DE}"/>
    <cellStyle name="_SubHeading_beta_Project Sunflower v25_LVGEM project inputs" xfId="954" xr:uid="{17F56667-5649-4C7D-BF4C-3401FEEAD34A}"/>
    <cellStyle name="_SubHeading_beta_Project Sunflower v25_pelican" xfId="955" xr:uid="{BF270724-0119-4177-ADFF-3C3339A8455A}"/>
    <cellStyle name="_SubHeading_beta_Project Sunflower v25_Pelican - Profit Forecast 3Aug07" xfId="956" xr:uid="{CE6306DF-2A6B-48CB-B563-3680EF0B6BA9}"/>
    <cellStyle name="_SubHeading_beta_Project Sunflower v25_Pelican - Profit Forecast template 11July07_chi" xfId="957" xr:uid="{57E03493-578E-492B-BF51-88C785C959BA}"/>
    <cellStyle name="_SubHeading_beta_Project Sunflower v25_Pelican - Profit Forecast template 29July07" xfId="958" xr:uid="{8659AFA0-CA84-4FB0-A2E4-9B097E0C3665}"/>
    <cellStyle name="_SubHeading_beta_Project Sunflower v25_Pelican - Profit Forecast template 30July07" xfId="959" xr:uid="{B63CAE19-38AB-4982-B597-0A8964D8C268}"/>
    <cellStyle name="_SubHeading_beta_Project Sunflower v25_pelican.xls" xfId="960" xr:uid="{3DDF791E-B2C3-4283-8201-ACC845225431}"/>
    <cellStyle name="_SubHeading_Consolidated Statement of Changes in Equity" xfId="961" xr:uid="{14944C6E-0993-44A9-B720-D0B192822F77}"/>
    <cellStyle name="_SubHeading_Consolidated Statement of Changes in Equity (2)" xfId="962" xr:uid="{1A4C5F88-5999-4006-B9EA-44AE9CE21356}"/>
    <cellStyle name="_SubHeading_Consolidated Statement of Changes in Equity (2)_LVGEM project inputs" xfId="963" xr:uid="{0E6B603D-1364-41FD-A694-35CEB8597B5F}"/>
    <cellStyle name="_SubHeading_Consolidated Statement of Changes in Equity (2)_pelican" xfId="964" xr:uid="{5BD4AC18-F68B-4A34-AC78-FA9D1B3F762E}"/>
    <cellStyle name="_SubHeading_Consolidated Statement of Changes in Equity (2)_Pelican - Profit Forecast 3Aug07" xfId="965" xr:uid="{A4A5D127-7774-4DD0-8BB4-CF5889DCE015}"/>
    <cellStyle name="_SubHeading_Consolidated Statement of Changes in Equity (2)_Pelican - Profit Forecast template 11July07_chi" xfId="966" xr:uid="{0EFA5AC9-FDEB-46D1-942F-50FB08751077}"/>
    <cellStyle name="_SubHeading_Consolidated Statement of Changes in Equity (2)_Pelican - Profit Forecast template 29July07" xfId="967" xr:uid="{E762B3B1-BB92-4236-8985-65E75E67AD08}"/>
    <cellStyle name="_SubHeading_Consolidated Statement of Changes in Equity (2)_Pelican - Profit Forecast template 30July07" xfId="968" xr:uid="{DC535C42-3A6A-4B2B-8F0E-C35E1AA63CAA}"/>
    <cellStyle name="_SubHeading_Consolidated Statement of Changes in Equity (2)_pelican.xls" xfId="969" xr:uid="{4031241A-0423-4284-B4E5-A3A87C4E4A8D}"/>
    <cellStyle name="_SubHeading_Consolidated Statement of Changes in Equity_LVGEM project inputs" xfId="970" xr:uid="{B3EA8028-4053-4FCB-829C-2C8A101940C9}"/>
    <cellStyle name="_SubHeading_Consolidated Statement of Changes in Equity_pelican" xfId="971" xr:uid="{FC3D49B7-F043-4619-98F4-DB0E5DE435F5}"/>
    <cellStyle name="_SubHeading_Consolidated Statement of Changes in Equity_Pelican - Profit Forecast 3Aug07" xfId="972" xr:uid="{91C381F8-39E1-4F0D-A53E-C0953414E3C0}"/>
    <cellStyle name="_SubHeading_Consolidated Statement of Changes in Equity_Pelican - Profit Forecast template 11July07_chi" xfId="973" xr:uid="{38D27D6A-924D-45A4-BFE1-9A84F963AFAA}"/>
    <cellStyle name="_SubHeading_Consolidated Statement of Changes in Equity_Pelican - Profit Forecast template 29July07" xfId="974" xr:uid="{7F4C660C-6698-449F-B611-2FC64A1CE35B}"/>
    <cellStyle name="_SubHeading_Consolidated Statement of Changes in Equity_Pelican - Profit Forecast template 30July07" xfId="975" xr:uid="{31CC0073-8FC7-40AD-B13C-BBD5CC78FE27}"/>
    <cellStyle name="_SubHeading_Consolidated Statement of Changes in Equity_pelican.xls" xfId="976" xr:uid="{73DC9262-DE2E-4F0C-AD84-B56AD587C7FC}"/>
    <cellStyle name="_SubHeading_dcf" xfId="977" xr:uid="{A6986769-CCFE-4256-9BA6-8361431EBE7B}"/>
    <cellStyle name="_SubHeading_DCF Model_v7" xfId="978" xr:uid="{F9C8C3F4-869B-4F02-87F6-AF5FF2BFC56F}"/>
    <cellStyle name="_SubHeading_DCF Model_v7_LVGEM project inputs" xfId="979" xr:uid="{FE738ED7-EDB4-466E-B8CB-5F189BAD2633}"/>
    <cellStyle name="_SubHeading_DCF Model_v7_pelican" xfId="980" xr:uid="{BBD0B350-B55D-48AF-BBDE-999513556368}"/>
    <cellStyle name="_SubHeading_DCF Model_v7_Pelican - Profit Forecast 3Aug07" xfId="981" xr:uid="{2176FA2E-F138-4CE2-9A19-EC1C279E766B}"/>
    <cellStyle name="_SubHeading_DCF Model_v7_Pelican - Profit Forecast template 11July07_chi" xfId="982" xr:uid="{CD12DB4D-FED1-4526-9A73-6827F6AF1AF5}"/>
    <cellStyle name="_SubHeading_DCF Model_v7_Pelican - Profit Forecast template 29July07" xfId="983" xr:uid="{F8F08113-3C8F-47F0-B0A9-C7692F92EED7}"/>
    <cellStyle name="_SubHeading_DCF Model_v7_Pelican - Profit Forecast template 30July07" xfId="984" xr:uid="{C2221BDD-C653-4294-9938-16F7EEABACBA}"/>
    <cellStyle name="_SubHeading_DCF Model_v7_pelican.xls" xfId="985" xr:uid="{7703AB43-6161-46EB-B154-CDC87751CC8C}"/>
    <cellStyle name="_SubHeading_DCF Model_v7_Project Sunflower v24" xfId="986" xr:uid="{B7D1BF14-1566-4C8A-9A8B-30D1727A810D}"/>
    <cellStyle name="_SubHeading_DCF Model_v7_Project Sunflower v24_LVGEM project inputs" xfId="987" xr:uid="{BAB7278B-394C-456B-A0C4-BA138CD17E11}"/>
    <cellStyle name="_SubHeading_DCF Model_v7_Project Sunflower v24_pelican" xfId="988" xr:uid="{780B06F2-671E-4BFB-B580-6BD7F68DFB1C}"/>
    <cellStyle name="_SubHeading_DCF Model_v7_Project Sunflower v24_Pelican - Profit Forecast 3Aug07" xfId="989" xr:uid="{1057F6EE-EFB5-44D7-8D56-E94B13366031}"/>
    <cellStyle name="_SubHeading_DCF Model_v7_Project Sunflower v24_Pelican - Profit Forecast template 11July07_chi" xfId="990" xr:uid="{7FCF6656-FEAC-4926-8959-6F44A25360A8}"/>
    <cellStyle name="_SubHeading_DCF Model_v7_Project Sunflower v24_Pelican - Profit Forecast template 29July07" xfId="991" xr:uid="{4E516939-D7E1-4D62-AFEE-CCCD687E2CD6}"/>
    <cellStyle name="_SubHeading_DCF Model_v7_Project Sunflower v24_Pelican - Profit Forecast template 30July07" xfId="992" xr:uid="{CD022566-CF36-42D9-83D9-C2808A1DD9EC}"/>
    <cellStyle name="_SubHeading_DCF Model_v7_Project Sunflower v24_pelican.xls" xfId="993" xr:uid="{946A77B9-50EA-409D-A37A-DF9248DB88E9}"/>
    <cellStyle name="_SubHeading_DCF Model_v7_Project Sunflower v25" xfId="994" xr:uid="{7EE09264-B875-4AD5-A866-C83C59B4ED68}"/>
    <cellStyle name="_SubHeading_DCF Model_v7_Project Sunflower v25_LVGEM project inputs" xfId="995" xr:uid="{2B7C4137-733E-4C3B-AF88-9FDD1E61C7D3}"/>
    <cellStyle name="_SubHeading_DCF Model_v7_Project Sunflower v25_pelican" xfId="996" xr:uid="{7A480D35-FFC9-437A-8E9B-09598128353A}"/>
    <cellStyle name="_SubHeading_DCF Model_v7_Project Sunflower v25_Pelican - Profit Forecast 3Aug07" xfId="997" xr:uid="{7C91144E-AA64-4293-8B87-2B037DC1534C}"/>
    <cellStyle name="_SubHeading_DCF Model_v7_Project Sunflower v25_Pelican - Profit Forecast template 11July07_chi" xfId="998" xr:uid="{2BB01551-DCB7-4668-9F5F-5D6EBF4F4CD9}"/>
    <cellStyle name="_SubHeading_DCF Model_v7_Project Sunflower v25_Pelican - Profit Forecast template 29July07" xfId="999" xr:uid="{2B64A41F-7849-4ADC-AFCE-BA85D203AD58}"/>
    <cellStyle name="_SubHeading_DCF Model_v7_Project Sunflower v25_Pelican - Profit Forecast template 30July07" xfId="1000" xr:uid="{4A3C9EC9-4E7B-4C8E-B321-1C0A90433E0F}"/>
    <cellStyle name="_SubHeading_DCF Model_v7_Project Sunflower v25_pelican.xls" xfId="1001" xr:uid="{40BFD50F-6D15-4125-BA2A-209408366431}"/>
    <cellStyle name="_SubHeading_DCF_050422" xfId="1002" xr:uid="{3B659051-9138-4BD3-B7C8-9D1716D1D3CF}"/>
    <cellStyle name="_SubHeading_DCF_050422_LVGEM project inputs" xfId="1003" xr:uid="{4AE64E44-469F-4E10-835B-8E4F0C9B0078}"/>
    <cellStyle name="_SubHeading_DCF_050422_pelican" xfId="1004" xr:uid="{6392DDE7-445D-4CEB-9760-DD27D2F11282}"/>
    <cellStyle name="_SubHeading_DCF_050422_Pelican - Profit Forecast 3Aug07" xfId="1005" xr:uid="{EE5C2699-6515-47D9-A5E5-082F43603B6B}"/>
    <cellStyle name="_SubHeading_DCF_050422_Pelican - Profit Forecast template 11July07_chi" xfId="1006" xr:uid="{68C19D93-0C5A-4CBC-BFF8-2D61101EA5BD}"/>
    <cellStyle name="_SubHeading_DCF_050422_Pelican - Profit Forecast template 29July07" xfId="1007" xr:uid="{86FD1CDB-6D2E-47A8-92FA-A0189E8D72B1}"/>
    <cellStyle name="_SubHeading_DCF_050422_Pelican - Profit Forecast template 30July07" xfId="1008" xr:uid="{ED868A8D-5FA7-464E-8460-E7B811010F2E}"/>
    <cellStyle name="_SubHeading_DCF_050422_pelican.xls" xfId="1009" xr:uid="{D34334E5-9C4D-4A3A-B27F-0209E6AF7F19}"/>
    <cellStyle name="_SubHeading_DCF_050422_Project Sunflower v24" xfId="1010" xr:uid="{BE3CD958-963C-4CEE-976E-CD4E35C425EF}"/>
    <cellStyle name="_SubHeading_DCF_050422_Project Sunflower v24_LVGEM project inputs" xfId="1011" xr:uid="{F6B22FC1-488A-403C-93C4-162010007621}"/>
    <cellStyle name="_SubHeading_DCF_050422_Project Sunflower v24_pelican" xfId="1012" xr:uid="{C435FC34-1066-454E-B50A-8067C48C6371}"/>
    <cellStyle name="_SubHeading_DCF_050422_Project Sunflower v24_Pelican - Profit Forecast 3Aug07" xfId="1013" xr:uid="{45266AF6-2756-4198-986D-D5F10CFB8A20}"/>
    <cellStyle name="_SubHeading_DCF_050422_Project Sunflower v24_Pelican - Profit Forecast template 11July07_chi" xfId="1014" xr:uid="{AF8DFD26-8845-42D6-97F4-C9236FCE1F94}"/>
    <cellStyle name="_SubHeading_DCF_050422_Project Sunflower v24_Pelican - Profit Forecast template 29July07" xfId="1015" xr:uid="{95334D63-71EE-4BE2-85FC-E61798AC6065}"/>
    <cellStyle name="_SubHeading_DCF_050422_Project Sunflower v24_Pelican - Profit Forecast template 30July07" xfId="1016" xr:uid="{1A9BC3BE-256F-49FC-81A3-B3F7C72C05CF}"/>
    <cellStyle name="_SubHeading_DCF_050422_Project Sunflower v24_pelican.xls" xfId="1017" xr:uid="{D4895DE1-EA0A-42AE-87B7-4D9B759A23D3}"/>
    <cellStyle name="_SubHeading_DCF_050422_Project Sunflower v25" xfId="1018" xr:uid="{56E51FA9-20D7-423A-8FB2-A17F12A46A16}"/>
    <cellStyle name="_SubHeading_DCF_050422_Project Sunflower v25_LVGEM project inputs" xfId="1019" xr:uid="{8C8F5D8B-294B-4EFA-A097-1A3A0EDC6E02}"/>
    <cellStyle name="_SubHeading_DCF_050422_Project Sunflower v25_pelican" xfId="1020" xr:uid="{DDFCB231-D1DC-47E1-8E0A-DDCD6C85F263}"/>
    <cellStyle name="_SubHeading_DCF_050422_Project Sunflower v25_Pelican - Profit Forecast 3Aug07" xfId="1021" xr:uid="{C8632559-1AC6-4EE8-8AB7-2CEBBE5EB23D}"/>
    <cellStyle name="_SubHeading_DCF_050422_Project Sunflower v25_Pelican - Profit Forecast template 11July07_chi" xfId="1022" xr:uid="{A6816D6F-F2D4-4163-8576-D94C7CE51F9A}"/>
    <cellStyle name="_SubHeading_DCF_050422_Project Sunflower v25_Pelican - Profit Forecast template 29July07" xfId="1023" xr:uid="{FAC6210C-652E-4963-9D19-FF848E396FA6}"/>
    <cellStyle name="_SubHeading_DCF_050422_Project Sunflower v25_Pelican - Profit Forecast template 30July07" xfId="1024" xr:uid="{4563D91F-A981-464A-B6FC-5F0A72770351}"/>
    <cellStyle name="_SubHeading_DCF_050422_Project Sunflower v25_pelican.xls" xfId="1025" xr:uid="{F1DEA47A-B2BB-498A-84EF-850F7BE8B886}"/>
    <cellStyle name="_SubHeading_dcf_LVGEM project inputs" xfId="1026" xr:uid="{1A0149B5-80EC-4207-812D-91509EBE0174}"/>
    <cellStyle name="_SubHeading_dcf_pelican" xfId="1027" xr:uid="{0E60160A-BBD9-4562-8022-F09F0E1CE93A}"/>
    <cellStyle name="_SubHeading_dcf_Pelican - Profit Forecast 3Aug07" xfId="1028" xr:uid="{91095946-8E64-46C8-A549-C7F9F2706DB7}"/>
    <cellStyle name="_SubHeading_dcf_Pelican - Profit Forecast template 11July07_chi" xfId="1029" xr:uid="{42461679-FC8B-49A9-914A-8FF90604E529}"/>
    <cellStyle name="_SubHeading_dcf_Pelican - Profit Forecast template 29July07" xfId="1030" xr:uid="{D91C5CC9-DB8C-4FC4-901A-54744622A29E}"/>
    <cellStyle name="_SubHeading_dcf_Pelican - Profit Forecast template 30July07" xfId="1031" xr:uid="{6C775547-3B1D-4EFA-BA3E-435E2A34E42F}"/>
    <cellStyle name="_SubHeading_dcf_pelican.xls" xfId="1032" xr:uid="{B6989A58-7195-4CB6-A39E-C757CE504B70}"/>
    <cellStyle name="_SubHeading_dcf_Project Sunflower v24" xfId="1033" xr:uid="{11FF83FD-7E07-41F3-8B0B-217609AF138D}"/>
    <cellStyle name="_SubHeading_dcf_Project Sunflower v24_LVGEM project inputs" xfId="1034" xr:uid="{CF50B5CF-488A-40F8-933F-68496BC771F5}"/>
    <cellStyle name="_SubHeading_dcf_Project Sunflower v24_pelican" xfId="1035" xr:uid="{BE80A7D3-1257-45B5-9221-8FF0BF9269A3}"/>
    <cellStyle name="_SubHeading_dcf_Project Sunflower v24_Pelican - Profit Forecast 3Aug07" xfId="1036" xr:uid="{B6B47337-474A-448E-BF20-BAA418C4A7A4}"/>
    <cellStyle name="_SubHeading_dcf_Project Sunflower v24_Pelican - Profit Forecast template 11July07_chi" xfId="1037" xr:uid="{6952DE3C-ED0B-483B-A799-81FA6B1CE198}"/>
    <cellStyle name="_SubHeading_dcf_Project Sunflower v24_Pelican - Profit Forecast template 29July07" xfId="1038" xr:uid="{6C6F85ED-994F-42C9-9D72-82FD34D004E1}"/>
    <cellStyle name="_SubHeading_dcf_Project Sunflower v24_Pelican - Profit Forecast template 30July07" xfId="1039" xr:uid="{AECF17F6-71AD-4C16-8CF1-8F5D4F5C55FF}"/>
    <cellStyle name="_SubHeading_dcf_Project Sunflower v24_pelican.xls" xfId="1040" xr:uid="{11C25A13-5BCC-404B-B099-CFACC46A62BC}"/>
    <cellStyle name="_SubHeading_dcf_Project Sunflower v25" xfId="1041" xr:uid="{F9FC9A24-DF60-499E-8406-04A2FAD49D4C}"/>
    <cellStyle name="_SubHeading_dcf_Project Sunflower v25_LVGEM project inputs" xfId="1042" xr:uid="{19439E91-8469-4487-991B-C8B826666E71}"/>
    <cellStyle name="_SubHeading_dcf_Project Sunflower v25_pelican" xfId="1043" xr:uid="{AF5ED1B2-CB1D-4D5D-90F4-3E1B81B81688}"/>
    <cellStyle name="_SubHeading_dcf_Project Sunflower v25_Pelican - Profit Forecast 3Aug07" xfId="1044" xr:uid="{72360019-00E0-4FA2-88AF-5E978C92E385}"/>
    <cellStyle name="_SubHeading_dcf_Project Sunflower v25_Pelican - Profit Forecast template 11July07_chi" xfId="1045" xr:uid="{4FD2EDBA-15A5-4796-BB94-5D69D00FB08A}"/>
    <cellStyle name="_SubHeading_dcf_Project Sunflower v25_Pelican - Profit Forecast template 29July07" xfId="1046" xr:uid="{6A81DEC9-D063-4969-892F-3C5AFCAFD3BE}"/>
    <cellStyle name="_SubHeading_dcf_Project Sunflower v25_Pelican - Profit Forecast template 30July07" xfId="1047" xr:uid="{2EFB295A-4719-4488-B143-EA0972431C26}"/>
    <cellStyle name="_SubHeading_dcf_Project Sunflower v25_pelican.xls" xfId="1048" xr:uid="{51361FF5-D67B-4180-A667-C7E862603D4C}"/>
    <cellStyle name="_SubHeading_Financial Model_v13" xfId="1049" xr:uid="{4D3173C7-CE4A-4257-8CE4-69FA40BECEC5}"/>
    <cellStyle name="_SubHeading_Financial Model_v13_LVGEM project inputs" xfId="1050" xr:uid="{2AD29F8A-AEFB-4050-AB11-E1FA5A2B6841}"/>
    <cellStyle name="_SubHeading_Financial Model_v13_pelican" xfId="1051" xr:uid="{33BE903C-9BBA-4E4B-B368-2AEE16A8FCE4}"/>
    <cellStyle name="_SubHeading_Financial Model_v13_Pelican - Profit Forecast 3Aug07" xfId="1052" xr:uid="{32E15C38-9E84-4B78-83B7-AC12FDE7C875}"/>
    <cellStyle name="_SubHeading_Financial Model_v13_Pelican - Profit Forecast template 11July07_chi" xfId="1053" xr:uid="{E65E3D25-0202-468B-9048-748090AB4328}"/>
    <cellStyle name="_SubHeading_Financial Model_v13_Pelican - Profit Forecast template 29July07" xfId="1054" xr:uid="{397B410D-0F48-4A8A-B626-B7C5A1067897}"/>
    <cellStyle name="_SubHeading_Financial Model_v13_Pelican - Profit Forecast template 30July07" xfId="1055" xr:uid="{2CFA7C60-B007-461B-A0F4-D9875F7D8445}"/>
    <cellStyle name="_SubHeading_Financial Model_v13_pelican.xls" xfId="1056" xr:uid="{4347F167-2171-4B6E-935F-CEC9222F715A}"/>
    <cellStyle name="_SubHeading_fund model 5" xfId="1057" xr:uid="{2CAD71CE-A209-43CD-AF8C-E478A0514B1F}"/>
    <cellStyle name="_SubHeading_fund model 5_LVGEM project inputs" xfId="1058" xr:uid="{369F8F45-4F09-49D1-83F9-19470EBF8296}"/>
    <cellStyle name="_SubHeading_fund model 5_pelican" xfId="1059" xr:uid="{F65C85E5-B8C1-4288-BA67-48BAE481478C}"/>
    <cellStyle name="_SubHeading_fund model 5_Pelican - Profit Forecast 3Aug07" xfId="1060" xr:uid="{5AF241C5-D9AB-44A1-ACD5-E7F3B9702679}"/>
    <cellStyle name="_SubHeading_fund model 5_Pelican - Profit Forecast template 11July07_chi" xfId="1061" xr:uid="{9EE7EF0C-BC62-4DE8-AC06-DCCCC3CB1786}"/>
    <cellStyle name="_SubHeading_fund model 5_Pelican - Profit Forecast template 29July07" xfId="1062" xr:uid="{7A95C809-A16D-4CFB-A63F-0988E6CF3E7A}"/>
    <cellStyle name="_SubHeading_fund model 5_Pelican - Profit Forecast template 30July07" xfId="1063" xr:uid="{351A4FA3-87E3-4920-8DD0-E3FD36BC0316}"/>
    <cellStyle name="_SubHeading_fund model 5_pelican.xls" xfId="1064" xr:uid="{66C372DF-995C-462F-94C3-65CCB6009BB9}"/>
    <cellStyle name="_SubHeading_Mindray Medical Intl Ltd Consolidated" xfId="1065" xr:uid="{6E6DBB9D-CDA2-4C56-91E5-6C5E423544B7}"/>
    <cellStyle name="_SubHeading_Mindray Medical Intl Ltd Consolidated_LVGEM project inputs" xfId="1066" xr:uid="{9BD8508E-34C9-4A80-A00D-E740D3732E76}"/>
    <cellStyle name="_SubHeading_Mindray Medical Intl Ltd Consolidated_pelican" xfId="1067" xr:uid="{53BC9F5C-C7A9-481A-B6AA-0568F082B25D}"/>
    <cellStyle name="_SubHeading_Mindray Medical Intl Ltd Consolidated_Pelican - Profit Forecast 3Aug07" xfId="1068" xr:uid="{05E1C42B-CD00-475F-8049-601893A082BB}"/>
    <cellStyle name="_SubHeading_Mindray Medical Intl Ltd Consolidated_Pelican - Profit Forecast template 11July07_chi" xfId="1069" xr:uid="{81D3A9F7-3068-4AB3-AEDD-D74D84F6D9FC}"/>
    <cellStyle name="_SubHeading_Mindray Medical Intl Ltd Consolidated_Pelican - Profit Forecast template 29July07" xfId="1070" xr:uid="{60184A03-E4B9-4E86-A484-6A359F44BF54}"/>
    <cellStyle name="_SubHeading_Mindray Medical Intl Ltd Consolidated_Pelican - Profit Forecast template 30July07" xfId="1071" xr:uid="{EA5BD9E1-ACAB-4ECC-9565-23D5DC62BE2A}"/>
    <cellStyle name="_SubHeading_Mindray Medical Intl Ltd Consolidated_pelican.xls" xfId="1072" xr:uid="{DD27CDE7-5A29-48CE-A831-5275030BC847}"/>
    <cellStyle name="_SubHeading_Page no-115" xfId="1073" xr:uid="{A400C54E-9B89-417A-8BE3-F070811961AD}"/>
    <cellStyle name="_SubHeading_Page no-115_LVGEM project inputs" xfId="1074" xr:uid="{88D0ED96-4B53-49FD-B983-F574004DE8A4}"/>
    <cellStyle name="_SubHeading_Page no-115_pelican" xfId="1075" xr:uid="{F35FF9AC-F501-47D4-8556-10FAF322918A}"/>
    <cellStyle name="_SubHeading_Page no-115_Pelican - Profit Forecast 3Aug07" xfId="1076" xr:uid="{B0B31884-E096-4BB0-8BF4-DBDBB8D4E8FB}"/>
    <cellStyle name="_SubHeading_Page no-115_Pelican - Profit Forecast template 11July07_chi" xfId="1077" xr:uid="{F166C291-406A-476E-A3F4-841FA5557C1F}"/>
    <cellStyle name="_SubHeading_Page no-115_Pelican - Profit Forecast template 29July07" xfId="1078" xr:uid="{AF0B4EBB-8B2A-4138-BE26-789B4B4D1815}"/>
    <cellStyle name="_SubHeading_Page no-115_Pelican - Profit Forecast template 30July07" xfId="1079" xr:uid="{CDD361C1-600A-4AAC-B781-9300D2D91711}"/>
    <cellStyle name="_SubHeading_Page no-115_pelican.xls" xfId="1080" xr:uid="{3D09B901-21BB-4231-8AFC-7758B3EC251D}"/>
    <cellStyle name="_SubHeading_prestemp" xfId="1081" xr:uid="{2F5DE1F3-6990-4059-95B3-3FD13DC9EBAC}"/>
    <cellStyle name="_SubHeading_prestemp_LVGEM project inputs" xfId="1082" xr:uid="{EDFC871D-A6A9-4DAD-9C9B-7F21A166343E}"/>
    <cellStyle name="_SubHeading_prestemp_pelican" xfId="1083" xr:uid="{12C02EC3-EF16-47B5-B1A0-8CEC1E9C7766}"/>
    <cellStyle name="_SubHeading_prestemp_Pelican - Profit Forecast 3Aug07" xfId="1084" xr:uid="{86491E04-5E1D-479A-A142-080AD93A5CDF}"/>
    <cellStyle name="_SubHeading_prestemp_Pelican - Profit Forecast template 11July07_chi" xfId="1085" xr:uid="{BE66FC5F-0B3D-4CF4-B332-FA4C2E16CBDD}"/>
    <cellStyle name="_SubHeading_prestemp_Pelican - Profit Forecast template 29July07" xfId="1086" xr:uid="{DC3BECE0-3D36-4565-8ABA-529C0F4BA840}"/>
    <cellStyle name="_SubHeading_prestemp_Pelican - Profit Forecast template 30July07" xfId="1087" xr:uid="{C551FDEA-E74E-494F-A7BD-BBC22DB80C4A}"/>
    <cellStyle name="_SubHeading_prestemp_pelican.xls" xfId="1088" xr:uid="{2DD6B58D-57B5-4837-9A23-587A18168483}"/>
    <cellStyle name="_SubHeading_prestemp_Project Sunflower v24" xfId="1089" xr:uid="{CE6FC54D-C7F8-46ED-83DC-CF292832DDF3}"/>
    <cellStyle name="_SubHeading_prestemp_Project Sunflower v24_LVGEM project inputs" xfId="1090" xr:uid="{D55E1E56-A2CB-4F59-AB31-0C509345FCB3}"/>
    <cellStyle name="_SubHeading_prestemp_Project Sunflower v24_pelican" xfId="1091" xr:uid="{2419D965-F6E6-466F-8317-CBFB84ABB9B8}"/>
    <cellStyle name="_SubHeading_prestemp_Project Sunflower v24_Pelican - Profit Forecast 3Aug07" xfId="1092" xr:uid="{9D06EB9A-0E1E-4805-BC18-6D030E70D599}"/>
    <cellStyle name="_SubHeading_prestemp_Project Sunflower v24_Pelican - Profit Forecast template 11July07_chi" xfId="1093" xr:uid="{941A8DDA-2B26-45EE-9D94-FFCBF952672E}"/>
    <cellStyle name="_SubHeading_prestemp_Project Sunflower v24_Pelican - Profit Forecast template 29July07" xfId="1094" xr:uid="{518F8D13-F903-416B-A2B4-DBA34F92F478}"/>
    <cellStyle name="_SubHeading_prestemp_Project Sunflower v24_Pelican - Profit Forecast template 30July07" xfId="1095" xr:uid="{B8B7D747-3349-49A4-B8A5-4ACE578A110C}"/>
    <cellStyle name="_SubHeading_prestemp_Project Sunflower v24_pelican.xls" xfId="1096" xr:uid="{1039825B-A2B3-4BAE-8BD0-8688A67C3B41}"/>
    <cellStyle name="_SubHeading_prestemp_Project Sunflower v25" xfId="1097" xr:uid="{DBDFC95B-61F5-4786-AA24-7085A174AF7B}"/>
    <cellStyle name="_SubHeading_prestemp_Project Sunflower v25_LVGEM project inputs" xfId="1098" xr:uid="{20F454E0-206B-40C7-A47A-315B7405D6ED}"/>
    <cellStyle name="_SubHeading_prestemp_Project Sunflower v25_pelican" xfId="1099" xr:uid="{B5F76198-DF1D-4477-B643-2DD8CFB09210}"/>
    <cellStyle name="_SubHeading_prestemp_Project Sunflower v25_Pelican - Profit Forecast 3Aug07" xfId="1100" xr:uid="{A8005C61-BCA5-43BA-81D5-1B09F1A81506}"/>
    <cellStyle name="_SubHeading_prestemp_Project Sunflower v25_Pelican - Profit Forecast template 11July07_chi" xfId="1101" xr:uid="{964A13C4-AFC0-4EA0-8E8A-0D37CB9B0399}"/>
    <cellStyle name="_SubHeading_prestemp_Project Sunflower v25_Pelican - Profit Forecast template 29July07" xfId="1102" xr:uid="{AB338AA7-54E8-4816-A960-928E07C3F16A}"/>
    <cellStyle name="_SubHeading_prestemp_Project Sunflower v25_Pelican - Profit Forecast template 30July07" xfId="1103" xr:uid="{3686032D-5C6A-4434-AFC9-17FDD523FE39}"/>
    <cellStyle name="_SubHeading_prestemp_Project Sunflower v25_pelican.xls" xfId="1104" xr:uid="{9D1F2823-C8E5-466F-A1F3-AE456CF99418}"/>
    <cellStyle name="_SubHeading_prestemp_Shanghai DCF 09" xfId="1105" xr:uid="{61DE467F-5864-49BD-A0DB-3D63262E99CB}"/>
    <cellStyle name="_SubHeading_prestemp_Shanghai DCF 09_LVGEM project inputs" xfId="1106" xr:uid="{6B73002B-0424-4113-A746-F64FBF851593}"/>
    <cellStyle name="_SubHeading_prestemp_Shanghai DCF 09_pelican" xfId="1107" xr:uid="{3EC3770C-14C4-44D6-B9F1-1D196EB32694}"/>
    <cellStyle name="_SubHeading_prestemp_Shanghai DCF 09_Pelican - Profit Forecast 3Aug07" xfId="1108" xr:uid="{DB55E08A-7BE9-461C-8C7B-4C9814C86E2C}"/>
    <cellStyle name="_SubHeading_prestemp_Shanghai DCF 09_Pelican - Profit Forecast template 11July07_chi" xfId="1109" xr:uid="{D29520C3-F4CB-4CB4-837D-FF6178B553C1}"/>
    <cellStyle name="_SubHeading_prestemp_Shanghai DCF 09_Pelican - Profit Forecast template 29July07" xfId="1110" xr:uid="{0685D59A-E3BE-4D8C-A880-D56FDE1B5543}"/>
    <cellStyle name="_SubHeading_prestemp_Shanghai DCF 09_Pelican - Profit Forecast template 30July07" xfId="1111" xr:uid="{2A40E3AC-C416-4B43-882E-9406DAD1C095}"/>
    <cellStyle name="_SubHeading_prestemp_Shanghai DCF 09_pelican.xls" xfId="1112" xr:uid="{A3582722-D931-4230-BCE6-897808153A06}"/>
    <cellStyle name="_SubHeading_prestemp_Shanghai DCF 09_Project Sunflower v24" xfId="1113" xr:uid="{DDFF4227-70CE-4751-A5E1-0D28556398DA}"/>
    <cellStyle name="_SubHeading_prestemp_Shanghai DCF 09_Project Sunflower v24_LVGEM project inputs" xfId="1114" xr:uid="{11475D3B-5F3A-4B29-8C97-2EEF40E969D7}"/>
    <cellStyle name="_SubHeading_prestemp_Shanghai DCF 09_Project Sunflower v24_pelican" xfId="1115" xr:uid="{92D2F53E-9E3E-4731-AC86-BB8ECDD00C79}"/>
    <cellStyle name="_SubHeading_prestemp_Shanghai DCF 09_Project Sunflower v24_Pelican - Profit Forecast 3Aug07" xfId="1116" xr:uid="{FDA78458-E087-4E67-9207-02A1D8CF6EA6}"/>
    <cellStyle name="_SubHeading_prestemp_Shanghai DCF 09_Project Sunflower v24_Pelican - Profit Forecast template 11July07_chi" xfId="1117" xr:uid="{E1C52569-4F71-4CA2-B495-A892BC558DFA}"/>
    <cellStyle name="_SubHeading_prestemp_Shanghai DCF 09_Project Sunflower v24_Pelican - Profit Forecast template 29July07" xfId="1118" xr:uid="{F705D12F-F962-48F9-B4EB-B64851A7F957}"/>
    <cellStyle name="_SubHeading_prestemp_Shanghai DCF 09_Project Sunflower v24_Pelican - Profit Forecast template 30July07" xfId="1119" xr:uid="{DF3A3E18-FCE4-452D-86CA-77219B09F3F1}"/>
    <cellStyle name="_SubHeading_prestemp_Shanghai DCF 09_Project Sunflower v24_pelican.xls" xfId="1120" xr:uid="{47CD0145-5565-4A75-83ED-E10A25B8DB85}"/>
    <cellStyle name="_SubHeading_prestemp_Shanghai DCF 09_Project Sunflower v25" xfId="1121" xr:uid="{95BDA633-75FF-4804-B134-6E88C33FA8C2}"/>
    <cellStyle name="_SubHeading_prestemp_Shanghai DCF 09_Project Sunflower v25_LVGEM project inputs" xfId="1122" xr:uid="{BC55574D-6B76-4B3A-B5D9-B32DCCA35743}"/>
    <cellStyle name="_SubHeading_prestemp_Shanghai DCF 09_Project Sunflower v25_pelican" xfId="1123" xr:uid="{8A12A46D-9CD0-4F4B-BB9D-E851741C3862}"/>
    <cellStyle name="_SubHeading_prestemp_Shanghai DCF 09_Project Sunflower v25_Pelican - Profit Forecast 3Aug07" xfId="1124" xr:uid="{9617AFAF-0459-451C-A6DC-F7835820E564}"/>
    <cellStyle name="_SubHeading_prestemp_Shanghai DCF 09_Project Sunflower v25_Pelican - Profit Forecast template 11July07_chi" xfId="1125" xr:uid="{15F56CBB-461D-4452-B4D9-F22F4163CB43}"/>
    <cellStyle name="_SubHeading_prestemp_Shanghai DCF 09_Project Sunflower v25_Pelican - Profit Forecast template 29July07" xfId="1126" xr:uid="{704BF4CB-793B-49C1-AFDE-85DB5D79E1EA}"/>
    <cellStyle name="_SubHeading_prestemp_Shanghai DCF 09_Project Sunflower v25_Pelican - Profit Forecast template 30July07" xfId="1127" xr:uid="{0BCA9E7E-6BEB-4523-A18F-EBC99CBD8A55}"/>
    <cellStyle name="_SubHeading_prestemp_Shanghai DCF 09_Project Sunflower v25_pelican.xls" xfId="1128" xr:uid="{B89E6B34-5432-41B9-B27B-392370A1EFF4}"/>
    <cellStyle name="_SubHeading_prestemp_Shanghai DCF 12_70%_New B_Small JV" xfId="1129" xr:uid="{FBFC5163-0A19-4482-8D47-CDF53352896F}"/>
    <cellStyle name="_SubHeading_prestemp_Shanghai DCF 12_70%_New B_Small JV_LVGEM project inputs" xfId="1130" xr:uid="{2C0412C3-1E69-42AC-A9D9-90B7BA05F21A}"/>
    <cellStyle name="_SubHeading_prestemp_Shanghai DCF 12_70%_New B_Small JV_pelican" xfId="1131" xr:uid="{E4F37360-22A8-47D6-870F-070293ED15D9}"/>
    <cellStyle name="_SubHeading_prestemp_Shanghai DCF 12_70%_New B_Small JV_Pelican - Profit Forecast 3Aug07" xfId="1132" xr:uid="{B3F3DD42-24E7-4ADB-AA59-342C13ED87D8}"/>
    <cellStyle name="_SubHeading_prestemp_Shanghai DCF 12_70%_New B_Small JV_Pelican - Profit Forecast template 11July07_chi" xfId="1133" xr:uid="{EEACBF07-6177-4259-9A5C-D1A4CCFB835E}"/>
    <cellStyle name="_SubHeading_prestemp_Shanghai DCF 12_70%_New B_Small JV_Pelican - Profit Forecast template 29July07" xfId="1134" xr:uid="{06A04527-04FB-47EF-8C37-9286B66909A9}"/>
    <cellStyle name="_SubHeading_prestemp_Shanghai DCF 12_70%_New B_Small JV_Pelican - Profit Forecast template 30July07" xfId="1135" xr:uid="{683AA1A4-4EBE-4960-B5A8-996773CE738D}"/>
    <cellStyle name="_SubHeading_prestemp_Shanghai DCF 12_70%_New B_Small JV_pelican.xls" xfId="1136" xr:uid="{B0397D0F-C45F-46C8-9471-7B209570F4BB}"/>
    <cellStyle name="_SubHeading_prestemp_Shanghai DCF 12_70%_New B_Small JV_Project Sunflower v24" xfId="1137" xr:uid="{292E6BCA-C456-4CC7-A99C-CADF640A0356}"/>
    <cellStyle name="_SubHeading_prestemp_Shanghai DCF 12_70%_New B_Small JV_Project Sunflower v24_LVGEM project inputs" xfId="1138" xr:uid="{699ECC6F-241A-4CCD-9CE5-CA691C7FE31E}"/>
    <cellStyle name="_SubHeading_prestemp_Shanghai DCF 12_70%_New B_Small JV_Project Sunflower v24_pelican" xfId="1139" xr:uid="{2C4EC9A4-94C4-4A04-B5CF-FA600B0DAA85}"/>
    <cellStyle name="_SubHeading_prestemp_Shanghai DCF 12_70%_New B_Small JV_Project Sunflower v24_Pelican - Profit Forecast 3Aug07" xfId="1140" xr:uid="{D6145360-6884-411D-951F-BBB67CAA3482}"/>
    <cellStyle name="_SubHeading_prestemp_Shanghai DCF 12_70%_New B_Small JV_Project Sunflower v24_Pelican - Profit Forecast template 11July07_chi" xfId="1141" xr:uid="{DD8CD369-5872-489F-AD47-BA4C426BC483}"/>
    <cellStyle name="_SubHeading_prestemp_Shanghai DCF 12_70%_New B_Small JV_Project Sunflower v24_Pelican - Profit Forecast template 29July07" xfId="1142" xr:uid="{D0C15862-C057-4532-904F-91D7767B5D93}"/>
    <cellStyle name="_SubHeading_prestemp_Shanghai DCF 12_70%_New B_Small JV_Project Sunflower v24_Pelican - Profit Forecast template 30July07" xfId="1143" xr:uid="{7DE8C2B2-4071-4EFA-91C0-FD5E858671FB}"/>
    <cellStyle name="_SubHeading_prestemp_Shanghai DCF 12_70%_New B_Small JV_Project Sunflower v24_pelican.xls" xfId="1144" xr:uid="{85E7A819-D725-4C23-B57D-10C2D2FC3634}"/>
    <cellStyle name="_SubHeading_prestemp_Shanghai DCF 12_70%_New B_Small JV_Project Sunflower v25" xfId="1145" xr:uid="{AFED84F4-D619-429C-8DCF-136465C23E27}"/>
    <cellStyle name="_SubHeading_prestemp_Shanghai DCF 12_70%_New B_Small JV_Project Sunflower v25_LVGEM project inputs" xfId="1146" xr:uid="{005D9B6C-BDD7-44AF-B2B5-417A1970F4C0}"/>
    <cellStyle name="_SubHeading_prestemp_Shanghai DCF 12_70%_New B_Small JV_Project Sunflower v25_pelican" xfId="1147" xr:uid="{8F6725C5-C7C7-46C5-B12D-6CF71381148F}"/>
    <cellStyle name="_SubHeading_prestemp_Shanghai DCF 12_70%_New B_Small JV_Project Sunflower v25_Pelican - Profit Forecast 3Aug07" xfId="1148" xr:uid="{BFF8458E-A4C0-4227-A2B1-7323562C566F}"/>
    <cellStyle name="_SubHeading_prestemp_Shanghai DCF 12_70%_New B_Small JV_Project Sunflower v25_Pelican - Profit Forecast template 11July07_chi" xfId="1149" xr:uid="{977CE04A-9FEE-4A52-83AA-D74FFDFADFF0}"/>
    <cellStyle name="_SubHeading_prestemp_Shanghai DCF 12_70%_New B_Small JV_Project Sunflower v25_Pelican - Profit Forecast template 29July07" xfId="1150" xr:uid="{13A2E6CE-D260-42A6-888E-6A42048EA81C}"/>
    <cellStyle name="_SubHeading_prestemp_Shanghai DCF 12_70%_New B_Small JV_Project Sunflower v25_Pelican - Profit Forecast template 30July07" xfId="1151" xr:uid="{BCE65DDA-9C5C-4936-BFAC-8F2C720FCEF1}"/>
    <cellStyle name="_SubHeading_prestemp_Shanghai DCF 12_70%_New B_Small JV_Project Sunflower v25_pelican.xls" xfId="1152" xr:uid="{DFEB4005-F89D-4609-A3D6-C9AD055C9046}"/>
    <cellStyle name="_SubHeading_Project Sunflower v26_CommCommFinal_(print)" xfId="1153" xr:uid="{543F2BA7-029C-4B7F-934D-9880A003C52F}"/>
    <cellStyle name="_SubHeading_Project Sunflower v26_CommCommFinal_(print)_LVGEM project inputs" xfId="1154" xr:uid="{E2F88388-93DD-4038-81A2-DBFEFD3B9A4C}"/>
    <cellStyle name="_SubHeading_Project Sunflower v26_CommCommFinal_(print)_pelican" xfId="1155" xr:uid="{0DE341AA-4AAD-424D-B9DF-357C414DEE28}"/>
    <cellStyle name="_SubHeading_Project Sunflower v26_CommCommFinal_(print)_Pelican - Profit Forecast 3Aug07" xfId="1156" xr:uid="{1049D899-330A-499F-84A8-38CA6A418DFD}"/>
    <cellStyle name="_SubHeading_Project Sunflower v26_CommCommFinal_(print)_Pelican - Profit Forecast template 11July07_chi" xfId="1157" xr:uid="{75124440-15B0-4EEB-9E8C-7896122303E7}"/>
    <cellStyle name="_SubHeading_Project Sunflower v26_CommCommFinal_(print)_Pelican - Profit Forecast template 29July07" xfId="1158" xr:uid="{BBBCD50A-4CFB-4367-921C-00BC009D7ED6}"/>
    <cellStyle name="_SubHeading_Project Sunflower v26_CommCommFinal_(print)_Pelican - Profit Forecast template 30July07" xfId="1159" xr:uid="{A093485E-988F-4DD1-9791-8B326D1D2227}"/>
    <cellStyle name="_SubHeading_Project Sunflower v26_CommCommFinal_(print)_pelican.xls" xfId="1160" xr:uid="{727A3F1D-81B5-4644-B75C-0431F94FFDFA}"/>
    <cellStyle name="_SubHeading_Shanghai DCF 13_JV 70%_New B shares_playing 2" xfId="1161" xr:uid="{D15EB81C-6ED1-442C-A127-F8A2E105D027}"/>
    <cellStyle name="_SubHeading_Shanghai DCF 13_JV 70%_New B shares_playing 2_LVGEM project inputs" xfId="1162" xr:uid="{4146B1D4-2DD3-478B-9931-F74B80EF1214}"/>
    <cellStyle name="_SubHeading_Shanghai DCF 13_JV 70%_New B shares_playing 2_pelican" xfId="1163" xr:uid="{3AFEC7B2-DEC3-4743-8AF6-8F2C944FC9BE}"/>
    <cellStyle name="_SubHeading_Shanghai DCF 13_JV 70%_New B shares_playing 2_Pelican - Profit Forecast 3Aug07" xfId="1164" xr:uid="{0B065CAA-8A9A-4227-86D5-F480350B1F5B}"/>
    <cellStyle name="_SubHeading_Shanghai DCF 13_JV 70%_New B shares_playing 2_Pelican - Profit Forecast template 11July07_chi" xfId="1165" xr:uid="{356A7C0D-C2E2-4105-9544-0FE201B2E6FC}"/>
    <cellStyle name="_SubHeading_Shanghai DCF 13_JV 70%_New B shares_playing 2_Pelican - Profit Forecast template 29July07" xfId="1166" xr:uid="{A783A1AE-BDA4-4D73-AB60-7C751A2E7C6A}"/>
    <cellStyle name="_SubHeading_Shanghai DCF 13_JV 70%_New B shares_playing 2_Pelican - Profit Forecast template 30July07" xfId="1167" xr:uid="{DA984245-510E-4C04-BF91-2243B38E121A}"/>
    <cellStyle name="_SubHeading_Shanghai DCF 13_JV 70%_New B shares_playing 2_pelican.xls" xfId="1168" xr:uid="{3D991E3A-9720-41D2-AF4C-7843297FE880}"/>
    <cellStyle name="_SubHeading_Shanghai DCF 13_JV 70%_New B shares_playing 2_Project Sunflower v24" xfId="1169" xr:uid="{B661D8CF-8FE9-4792-84A6-19AD374612B0}"/>
    <cellStyle name="_SubHeading_Shanghai DCF 13_JV 70%_New B shares_playing 2_Project Sunflower v24_LVGEM project inputs" xfId="1170" xr:uid="{9332360D-2CFC-4296-8FC8-B75318ABB38E}"/>
    <cellStyle name="_SubHeading_Shanghai DCF 13_JV 70%_New B shares_playing 2_Project Sunflower v24_pelican" xfId="1171" xr:uid="{27D46D8D-E3DB-4B39-BBFC-52FF62C8731F}"/>
    <cellStyle name="_SubHeading_Shanghai DCF 13_JV 70%_New B shares_playing 2_Project Sunflower v24_Pelican - Profit Forecast 3Aug07" xfId="1172" xr:uid="{B4B83489-AC71-4239-8FBA-7FABA522FB6C}"/>
    <cellStyle name="_SubHeading_Shanghai DCF 13_JV 70%_New B shares_playing 2_Project Sunflower v24_Pelican - Profit Forecast template 11July07_chi" xfId="1173" xr:uid="{FCBCD02F-770C-46F0-BDAB-8F382201F009}"/>
    <cellStyle name="_SubHeading_Shanghai DCF 13_JV 70%_New B shares_playing 2_Project Sunflower v24_Pelican - Profit Forecast template 29July07" xfId="1174" xr:uid="{91155BB1-BECF-445F-A664-340F5F8F97EC}"/>
    <cellStyle name="_SubHeading_Shanghai DCF 13_JV 70%_New B shares_playing 2_Project Sunflower v24_Pelican - Profit Forecast template 30July07" xfId="1175" xr:uid="{A8C9A16B-D38E-4D08-82AF-303EF77C43E7}"/>
    <cellStyle name="_SubHeading_Shanghai DCF 13_JV 70%_New B shares_playing 2_Project Sunflower v24_pelican.xls" xfId="1176" xr:uid="{1A9DD505-D097-434F-B19B-D120DB581E9B}"/>
    <cellStyle name="_SubHeading_Shanghai DCF 13_JV 70%_New B shares_playing 2_Project Sunflower v25" xfId="1177" xr:uid="{32DAD1BA-C59D-4B41-8AE1-DFB4515DF866}"/>
    <cellStyle name="_SubHeading_Shanghai DCF 13_JV 70%_New B shares_playing 2_Project Sunflower v25_LVGEM project inputs" xfId="1178" xr:uid="{8BB39F47-6394-4BE9-81CA-8412751D5D5B}"/>
    <cellStyle name="_SubHeading_Shanghai DCF 13_JV 70%_New B shares_playing 2_Project Sunflower v25_pelican" xfId="1179" xr:uid="{8C7DC6DD-E2A9-4E13-A54C-EB33D30986FD}"/>
    <cellStyle name="_SubHeading_Shanghai DCF 13_JV 70%_New B shares_playing 2_Project Sunflower v25_Pelican - Profit Forecast 3Aug07" xfId="1180" xr:uid="{F1C69EDA-17A1-4C5E-A9A3-6CC7BFDCDADE}"/>
    <cellStyle name="_SubHeading_Shanghai DCF 13_JV 70%_New B shares_playing 2_Project Sunflower v25_Pelican - Profit Forecast template 11July07_chi" xfId="1181" xr:uid="{C062D47A-890D-4EE3-9F12-8E1A0F97211D}"/>
    <cellStyle name="_SubHeading_Shanghai DCF 13_JV 70%_New B shares_playing 2_Project Sunflower v25_Pelican - Profit Forecast template 29July07" xfId="1182" xr:uid="{F6A97C0A-F5BE-46CD-8819-33E19BEEF1EA}"/>
    <cellStyle name="_SubHeading_Shanghai DCF 13_JV 70%_New B shares_playing 2_Project Sunflower v25_Pelican - Profit Forecast template 30July07" xfId="1183" xr:uid="{003C80FC-AEC0-420C-96A3-ED6B76739234}"/>
    <cellStyle name="_SubHeading_Shanghai DCF 13_JV 70%_New B shares_playing 2_Project Sunflower v25_pelican.xls" xfId="1184" xr:uid="{4734AF14-DD48-467E-878C-FD51A4B13097}"/>
    <cellStyle name="_SubHeading_Shimao Valuation Model_v49_BH_Comm Comm_v5" xfId="1185" xr:uid="{9C673743-074C-4391-8E08-6D1ED20CFD96}"/>
    <cellStyle name="_SubHeading_Shimao Valuation Model_v49_BH_Comm Comm_v5_LVGEM project inputs" xfId="1186" xr:uid="{A1D0B987-5C4F-4A67-9D4A-200E6AF1C7AC}"/>
    <cellStyle name="_SubHeading_Shimao Valuation Model_v49_BH_Comm Comm_v5_pelican" xfId="1187" xr:uid="{C9D11CBC-FD96-470D-B115-1360A4020AB9}"/>
    <cellStyle name="_SubHeading_Shimao Valuation Model_v49_BH_Comm Comm_v5_Pelican - Profit Forecast 3Aug07" xfId="1188" xr:uid="{AB165E1A-AB54-4C8A-9177-8CC8D75F007B}"/>
    <cellStyle name="_SubHeading_Shimao Valuation Model_v49_BH_Comm Comm_v5_Pelican - Profit Forecast template 11July07_chi" xfId="1189" xr:uid="{FC9A43F8-421E-4717-907B-21248B98B919}"/>
    <cellStyle name="_SubHeading_Shimao Valuation Model_v49_BH_Comm Comm_v5_Pelican - Profit Forecast template 29July07" xfId="1190" xr:uid="{DF28D0DC-420D-4649-90BF-9A9F554796B9}"/>
    <cellStyle name="_SubHeading_Shimao Valuation Model_v49_BH_Comm Comm_v5_Pelican - Profit Forecast template 30July07" xfId="1191" xr:uid="{37B93D0C-01B3-4EA1-AF62-335E6AC380B0}"/>
    <cellStyle name="_SubHeading_Shimao Valuation Model_v49_BH_Comm Comm_v5_pelican.xls" xfId="1192" xr:uid="{A355662E-C12B-4170-918B-F59C1739B285}"/>
    <cellStyle name="_SubHeading_Sinochem DCF version 15" xfId="1193" xr:uid="{DEC1344C-A992-49BD-B803-CE5A8B95AD9E}"/>
    <cellStyle name="_SubHeading_Sinochem DCF version 15_LVGEM project inputs" xfId="1194" xr:uid="{632BEEE9-D3AB-4F9B-99D1-429144E43F49}"/>
    <cellStyle name="_SubHeading_Sinochem DCF version 15_pelican" xfId="1195" xr:uid="{A7FC7E5C-0D0D-4303-92F5-175212BBA4B5}"/>
    <cellStyle name="_SubHeading_Sinochem DCF version 15_Pelican - Profit Forecast 3Aug07" xfId="1196" xr:uid="{586B88DC-9A6D-407A-924D-414C73CBB77E}"/>
    <cellStyle name="_SubHeading_Sinochem DCF version 15_Pelican - Profit Forecast template 11July07_chi" xfId="1197" xr:uid="{E001E349-A420-4038-960F-2EE33547468E}"/>
    <cellStyle name="_SubHeading_Sinochem DCF version 15_Pelican - Profit Forecast template 29July07" xfId="1198" xr:uid="{53EADDE5-3708-4674-A518-32E5E036E356}"/>
    <cellStyle name="_SubHeading_Sinochem DCF version 15_Pelican - Profit Forecast template 30July07" xfId="1199" xr:uid="{9D2BEF58-F346-471B-A46E-02A51FEDA621}"/>
    <cellStyle name="_SubHeading_Sinochem DCF version 15_pelican.xls" xfId="1200" xr:uid="{829FA07F-522B-4A2A-9C39-A1277A0CADB9}"/>
    <cellStyle name="_SubHeading_Sinochem DCF version 15_Project Sunflower v24" xfId="1201" xr:uid="{0A221008-DF95-4420-8761-E082AC814085}"/>
    <cellStyle name="_SubHeading_Sinochem DCF version 15_Project Sunflower v24_LVGEM project inputs" xfId="1202" xr:uid="{2FC01BE0-CE0A-4194-A906-E5F432DD3DAD}"/>
    <cellStyle name="_SubHeading_Sinochem DCF version 15_Project Sunflower v24_pelican" xfId="1203" xr:uid="{A92852C6-D7E6-4103-91AD-9D5F71220D1E}"/>
    <cellStyle name="_SubHeading_Sinochem DCF version 15_Project Sunflower v24_Pelican - Profit Forecast 3Aug07" xfId="1204" xr:uid="{A7037A51-64B3-41DA-B7F5-40A8C4E70B84}"/>
    <cellStyle name="_SubHeading_Sinochem DCF version 15_Project Sunflower v24_Pelican - Profit Forecast template 11July07_chi" xfId="1205" xr:uid="{881A8FC6-A5E7-4F93-9CBC-DCF5A8A11AB4}"/>
    <cellStyle name="_SubHeading_Sinochem DCF version 15_Project Sunflower v24_Pelican - Profit Forecast template 29July07" xfId="1206" xr:uid="{7EE1EFFD-5CA9-4348-82D4-87840957331A}"/>
    <cellStyle name="_SubHeading_Sinochem DCF version 15_Project Sunflower v24_Pelican - Profit Forecast template 30July07" xfId="1207" xr:uid="{89E6D81F-127C-46F8-B03B-80DF4C7655C1}"/>
    <cellStyle name="_SubHeading_Sinochem DCF version 15_Project Sunflower v24_pelican.xls" xfId="1208" xr:uid="{C11D1F86-D983-46C6-8FF5-2E8C443BDDA1}"/>
    <cellStyle name="_SubHeading_Sinochem DCF version 15_Project Sunflower v25" xfId="1209" xr:uid="{0D2360DE-9330-4A7E-A303-99DB84F47B19}"/>
    <cellStyle name="_SubHeading_Sinochem DCF version 15_Project Sunflower v25_LVGEM project inputs" xfId="1210" xr:uid="{2056E12D-CDC8-43B7-BB29-4C61CC348164}"/>
    <cellStyle name="_SubHeading_Sinochem DCF version 15_Project Sunflower v25_pelican" xfId="1211" xr:uid="{E87FBE05-9219-4957-9A7D-DADFB4382935}"/>
    <cellStyle name="_SubHeading_Sinochem DCF version 15_Project Sunflower v25_Pelican - Profit Forecast 3Aug07" xfId="1212" xr:uid="{1DE5129D-AF50-44EF-8C02-31F5F1F17C2C}"/>
    <cellStyle name="_SubHeading_Sinochem DCF version 15_Project Sunflower v25_Pelican - Profit Forecast template 11July07_chi" xfId="1213" xr:uid="{5DF5BB95-2CA1-425C-BFBD-E54C947FDE1C}"/>
    <cellStyle name="_SubHeading_Sinochem DCF version 15_Project Sunflower v25_Pelican - Profit Forecast template 29July07" xfId="1214" xr:uid="{83D32FC1-3DE0-42A0-A5EE-3946751E6365}"/>
    <cellStyle name="_SubHeading_Sinochem DCF version 15_Project Sunflower v25_Pelican - Profit Forecast template 30July07" xfId="1215" xr:uid="{A53E590C-FC02-4E54-AF48-1DDACE738D04}"/>
    <cellStyle name="_SubHeading_Sinochem DCF version 15_Project Sunflower v25_pelican.xls" xfId="1216" xr:uid="{F44AA038-7096-4106-B47A-ECF601DA88C8}"/>
    <cellStyle name="_SubHeading_test_PF_Rightway Model_v6_2" xfId="1217" xr:uid="{76DB0191-FE59-4B43-982E-55ABE10A8F27}"/>
    <cellStyle name="_SubHeading_test_PF_Rightway Model_v6_2_LVGEM project inputs" xfId="1218" xr:uid="{F918BF92-138E-4E83-9DDC-03F87086A557}"/>
    <cellStyle name="_SubHeading_test_PF_Rightway Model_v6_2_pelican" xfId="1219" xr:uid="{7C906556-3B19-4F2D-A801-7C1438A9531A}"/>
    <cellStyle name="_SubHeading_test_PF_Rightway Model_v6_2_Pelican - Profit Forecast 3Aug07" xfId="1220" xr:uid="{D972AB99-28A0-40D4-A230-9E77D470EE95}"/>
    <cellStyle name="_SubHeading_test_PF_Rightway Model_v6_2_Pelican - Profit Forecast template 11July07_chi" xfId="1221" xr:uid="{6D5A68E3-A1C6-4D76-A24D-3D433BC27D48}"/>
    <cellStyle name="_SubHeading_test_PF_Rightway Model_v6_2_Pelican - Profit Forecast template 29July07" xfId="1222" xr:uid="{1A4E6D98-2544-4DA7-9C73-84DC422A88C4}"/>
    <cellStyle name="_SubHeading_test_PF_Rightway Model_v6_2_Pelican - Profit Forecast template 30July07" xfId="1223" xr:uid="{084DC744-A626-4B77-A11B-98501C524E42}"/>
    <cellStyle name="_SubHeading_test_PF_Rightway Model_v6_2_pelican.xls" xfId="1224" xr:uid="{886666BD-30C9-471B-9780-F37DA8F2FD55}"/>
    <cellStyle name="_SubHeading_Transaction-based Valuation of Lynx" xfId="1225" xr:uid="{27232E9B-9C8D-4DF9-A2FD-267EE4998E37}"/>
    <cellStyle name="_SubHeading_Transaction-based Valuation of Lynx_LVGEM project inputs" xfId="1226" xr:uid="{3435AED4-6023-4C14-905E-A978489E1A60}"/>
    <cellStyle name="_SubHeading_Transaction-based Valuation of Lynx_pelican" xfId="1227" xr:uid="{F714378F-D8BB-4684-A2C0-821AB652CAF3}"/>
    <cellStyle name="_SubHeading_Transaction-based Valuation of Lynx_Pelican - Profit Forecast 3Aug07" xfId="1228" xr:uid="{3B64F496-C1EF-4B7D-ADFC-FB35DF459C1F}"/>
    <cellStyle name="_SubHeading_Transaction-based Valuation of Lynx_Pelican - Profit Forecast template 11July07_chi" xfId="1229" xr:uid="{DB795427-C2AD-4220-AF97-F754A23B3047}"/>
    <cellStyle name="_SubHeading_Transaction-based Valuation of Lynx_Pelican - Profit Forecast template 29July07" xfId="1230" xr:uid="{F1FF1FDB-AD09-4774-ACCC-0DEEB799245B}"/>
    <cellStyle name="_SubHeading_Transaction-based Valuation of Lynx_Pelican - Profit Forecast template 30July07" xfId="1231" xr:uid="{65CDB98D-847B-4CC7-940C-597A6BCEEBBF}"/>
    <cellStyle name="_SubHeading_Transaction-based Valuation of Lynx_pelican.xls" xfId="1232" xr:uid="{B17C64DA-E38A-46B8-B171-151C6F31C9BA}"/>
    <cellStyle name="_SubHeading_WACC_template" xfId="1233" xr:uid="{02592769-42CC-42D0-B182-9B4F9553ECA2}"/>
    <cellStyle name="_SubHeading_WACC_template_LVGEM project inputs" xfId="1234" xr:uid="{C43BE24D-1A3B-4A6B-96E2-38FD83F2188D}"/>
    <cellStyle name="_SubHeading_WACC_template_pelican" xfId="1235" xr:uid="{DBD554EA-6490-45E5-9060-556F99A2B4C3}"/>
    <cellStyle name="_SubHeading_WACC_template_Pelican - Profit Forecast 3Aug07" xfId="1236" xr:uid="{E9F48E70-92F5-40DC-9CCF-4CCD1C5E49A3}"/>
    <cellStyle name="_SubHeading_WACC_template_Pelican - Profit Forecast template 11July07_chi" xfId="1237" xr:uid="{C703BF80-BE1E-496C-B31C-04ECB223A7D3}"/>
    <cellStyle name="_SubHeading_WACC_template_Pelican - Profit Forecast template 29July07" xfId="1238" xr:uid="{F6FD68CB-B024-4B18-BAF4-AA9D706D03C4}"/>
    <cellStyle name="_SubHeading_WACC_template_Pelican - Profit Forecast template 30July07" xfId="1239" xr:uid="{3134B9CB-3BC2-4110-BB44-A5ABE24BEBEA}"/>
    <cellStyle name="_SubHeading_WACC_template_pelican.xls" xfId="1240" xr:uid="{9DB20BA4-08E1-4A71-9ABF-781EF6422670}"/>
    <cellStyle name="_SubHeading_WACC_template_Project Sunflower v24" xfId="1241" xr:uid="{3E0DD4D0-8501-4B68-9B86-2EEEA5CB0B9D}"/>
    <cellStyle name="_SubHeading_WACC_template_Project Sunflower v24_LVGEM project inputs" xfId="1242" xr:uid="{C0ED49D1-FAFA-409D-A8CE-C1B325E262C6}"/>
    <cellStyle name="_SubHeading_WACC_template_Project Sunflower v24_pelican" xfId="1243" xr:uid="{7D0934F9-15D6-4326-B5E0-B83D88033C06}"/>
    <cellStyle name="_SubHeading_WACC_template_Project Sunflower v24_Pelican - Profit Forecast 3Aug07" xfId="1244" xr:uid="{E612CCAC-CD58-4AE2-B908-6D6C0559F76E}"/>
    <cellStyle name="_SubHeading_WACC_template_Project Sunflower v24_Pelican - Profit Forecast template 11July07_chi" xfId="1245" xr:uid="{0E16E935-43D1-4FD3-92ED-1EA8739A18A2}"/>
    <cellStyle name="_SubHeading_WACC_template_Project Sunflower v24_Pelican - Profit Forecast template 29July07" xfId="1246" xr:uid="{EA09FC3F-8202-49E5-922B-47BE650FD6D1}"/>
    <cellStyle name="_SubHeading_WACC_template_Project Sunflower v24_Pelican - Profit Forecast template 30July07" xfId="1247" xr:uid="{79ECF2E6-06EB-427C-A644-052938B37CF8}"/>
    <cellStyle name="_SubHeading_WACC_template_Project Sunflower v24_pelican.xls" xfId="1248" xr:uid="{4F48E20E-D2EE-412D-A717-3DE523AD2017}"/>
    <cellStyle name="_SubHeading_WACC_template_Project Sunflower v25" xfId="1249" xr:uid="{B8603DDD-5683-41F0-9D1F-B6AB10123AD5}"/>
    <cellStyle name="_SubHeading_WACC_template_Project Sunflower v25_LVGEM project inputs" xfId="1250" xr:uid="{56769566-6806-4655-8AC6-3F03496611FD}"/>
    <cellStyle name="_SubHeading_WACC_template_Project Sunflower v25_pelican" xfId="1251" xr:uid="{5E81DD7C-F566-4EA9-A341-C201FBEBF01F}"/>
    <cellStyle name="_SubHeading_WACC_template_Project Sunflower v25_Pelican - Profit Forecast 3Aug07" xfId="1252" xr:uid="{64706140-D98A-41FA-B4B1-1CE80BF5329E}"/>
    <cellStyle name="_SubHeading_WACC_template_Project Sunflower v25_Pelican - Profit Forecast template 11July07_chi" xfId="1253" xr:uid="{B081B154-7418-4755-A08B-7CAFF0EED1ED}"/>
    <cellStyle name="_SubHeading_WACC_template_Project Sunflower v25_Pelican - Profit Forecast template 29July07" xfId="1254" xr:uid="{F66F4BA7-F74F-414E-AFFB-900B3D12BF2A}"/>
    <cellStyle name="_SubHeading_WACC_template_Project Sunflower v25_Pelican - Profit Forecast template 30July07" xfId="1255" xr:uid="{8AE519D5-CF50-49D5-BF33-5E5A6EADCCB7}"/>
    <cellStyle name="_SubHeading_WACC_template_Project Sunflower v25_pelican.xls" xfId="1256" xr:uid="{5CBE9DE4-318A-4EAA-B12D-F1220DFEE689}"/>
    <cellStyle name="_Table" xfId="1257" xr:uid="{9E162747-80BA-432E-9EF4-3D1F668D01BF}"/>
    <cellStyle name="_Table_060224_Pearlshell_DCF_Prelim" xfId="1258" xr:uid="{8811DE95-F37C-4451-82A8-79C88E38AE27}"/>
    <cellStyle name="_Table_060224_Pearlshell_DCF_Prelim_LVGEM project inputs" xfId="1259" xr:uid="{9E640E73-C5F8-4142-92FA-8F05956EFCF9}"/>
    <cellStyle name="_Table_060224_Pearlshell_DCF_Prelim_pelican" xfId="1260" xr:uid="{7D964CFD-081A-4AEC-BEF9-D927E4D6B48B}"/>
    <cellStyle name="_Table_060224_Pearlshell_DCF_Prelim_Pelican - Profit Forecast 3Aug07" xfId="1261" xr:uid="{6B43CBD6-4881-464B-8D83-4A13C53FBDB8}"/>
    <cellStyle name="_Table_060224_Pearlshell_DCF_Prelim_Pelican - Profit Forecast template 11July07_chi" xfId="1262" xr:uid="{EC009375-E2FA-449A-B3CF-BF958F698527}"/>
    <cellStyle name="_Table_060224_Pearlshell_DCF_Prelim_Pelican - Profit Forecast template 29July07" xfId="1263" xr:uid="{D3034322-E4C4-42D9-AC4D-312229462CA6}"/>
    <cellStyle name="_Table_060224_Pearlshell_DCF_Prelim_Pelican - Profit Forecast template 30July07" xfId="1264" xr:uid="{D952002C-83D5-4CF1-8764-2BD9DA4C7F90}"/>
    <cellStyle name="_Table_060224_Pearlshell_DCF_Prelim_pelican.xls" xfId="1265" xr:uid="{4F5A6340-4F6A-42A3-885D-9E2DDEA51360}"/>
    <cellStyle name="_Table_060225_Pearlshell_DCF_Prelim_V4" xfId="1266" xr:uid="{FCC9E492-9104-4313-80F5-9B6A4D434182}"/>
    <cellStyle name="_Table_060225_Pearlshell_DCF_Prelim_V4_LVGEM project inputs" xfId="1267" xr:uid="{14D4493E-4DFA-4369-9897-1A268F2AC3E3}"/>
    <cellStyle name="_Table_060225_Pearlshell_DCF_Prelim_V4_pelican" xfId="1268" xr:uid="{19A3195E-21A7-49E6-8C77-563719C50D2F}"/>
    <cellStyle name="_Table_060225_Pearlshell_DCF_Prelim_V4_Pelican - Profit Forecast 3Aug07" xfId="1269" xr:uid="{A48D7B7F-6FB2-453D-A19E-68D66D712221}"/>
    <cellStyle name="_Table_060225_Pearlshell_DCF_Prelim_V4_Pelican - Profit Forecast template 11July07_chi" xfId="1270" xr:uid="{700FE832-3443-44EB-AAD8-94418764534D}"/>
    <cellStyle name="_Table_060225_Pearlshell_DCF_Prelim_V4_Pelican - Profit Forecast template 29July07" xfId="1271" xr:uid="{A4571C34-0ACE-4324-A44D-86668ED82862}"/>
    <cellStyle name="_Table_060225_Pearlshell_DCF_Prelim_V4_Pelican - Profit Forecast template 30July07" xfId="1272" xr:uid="{84D49878-1746-4A8D-91B9-6491D204E9C4}"/>
    <cellStyle name="_Table_060225_Pearlshell_DCF_Prelim_V4_pelican.xls" xfId="1273" xr:uid="{C2C20159-888C-4F03-A3FD-63289138F324}"/>
    <cellStyle name="_Table_060225_Pearlshell_DCF_Prelim_V4_Project Sunflower v24" xfId="1274" xr:uid="{E1010A54-8F5C-4744-B73A-C8F5011CA0E6}"/>
    <cellStyle name="_Table_060225_Pearlshell_DCF_Prelim_V4_Project Sunflower v24_LVGEM project inputs" xfId="1275" xr:uid="{A808E7F4-CE2B-4CA1-BDF7-694E0B762B4C}"/>
    <cellStyle name="_Table_060225_Pearlshell_DCF_Prelim_V4_Project Sunflower v24_pelican" xfId="1276" xr:uid="{3C0670B3-47A9-4978-AB4B-BA813771F81B}"/>
    <cellStyle name="_Table_060225_Pearlshell_DCF_Prelim_V4_Project Sunflower v24_Pelican - Profit Forecast 3Aug07" xfId="1277" xr:uid="{0CE22DF2-CD4F-4EE7-BB86-EBDC7734A7BA}"/>
    <cellStyle name="_Table_060225_Pearlshell_DCF_Prelim_V4_Project Sunflower v24_Pelican - Profit Forecast template 11July07_chi" xfId="1278" xr:uid="{EA3A2038-E23B-440F-A697-F85950A933F4}"/>
    <cellStyle name="_Table_060225_Pearlshell_DCF_Prelim_V4_Project Sunflower v24_Pelican - Profit Forecast template 29July07" xfId="1279" xr:uid="{42B89D12-1385-4B70-97E3-96F35151057D}"/>
    <cellStyle name="_Table_060225_Pearlshell_DCF_Prelim_V4_Project Sunflower v24_Pelican - Profit Forecast template 30July07" xfId="1280" xr:uid="{BB5CA7D1-5C94-4C8D-9AA1-7B0ED9699147}"/>
    <cellStyle name="_Table_060225_Pearlshell_DCF_Prelim_V4_Project Sunflower v24_pelican.xls" xfId="1281" xr:uid="{E5F8DA5C-8167-47CD-B6B5-5A0F6C6CC15C}"/>
    <cellStyle name="_Table_060225_Pearlshell_DCF_Prelim_V4_Project Sunflower v25" xfId="1282" xr:uid="{488D341C-586A-4CD3-969B-E630BCAFCD0A}"/>
    <cellStyle name="_Table_060225_Pearlshell_DCF_Prelim_V4_Project Sunflower v25_LVGEM project inputs" xfId="1283" xr:uid="{44B9CAF4-C9CD-4BE6-9E5E-68F7E9FDBF5C}"/>
    <cellStyle name="_Table_060225_Pearlshell_DCF_Prelim_V4_Project Sunflower v25_pelican" xfId="1284" xr:uid="{4800BBE0-8424-4716-A772-846E330E5719}"/>
    <cellStyle name="_Table_060225_Pearlshell_DCF_Prelim_V4_Project Sunflower v25_Pelican - Profit Forecast 3Aug07" xfId="1285" xr:uid="{E95D7862-801B-4202-96C5-3735B6579C20}"/>
    <cellStyle name="_Table_060225_Pearlshell_DCF_Prelim_V4_Project Sunflower v25_Pelican - Profit Forecast template 11July07_chi" xfId="1286" xr:uid="{9817E9DF-5644-41C0-8654-B01C2F5484BB}"/>
    <cellStyle name="_Table_060225_Pearlshell_DCF_Prelim_V4_Project Sunflower v25_Pelican - Profit Forecast template 29July07" xfId="1287" xr:uid="{6EF503A1-3FF6-4AC6-A4AF-45867A9F2DC5}"/>
    <cellStyle name="_Table_060225_Pearlshell_DCF_Prelim_V4_Project Sunflower v25_Pelican - Profit Forecast template 30July07" xfId="1288" xr:uid="{64687F81-3045-43ED-98CA-0C50C811F894}"/>
    <cellStyle name="_Table_060225_Pearlshell_DCF_Prelim_V4_Project Sunflower v25_pelican.xls" xfId="1289" xr:uid="{6A038E9D-EFB8-4D39-83A4-5D226767B674}"/>
    <cellStyle name="_Table_070201_Blog_Model v12" xfId="1290" xr:uid="{F521F860-8593-4F53-B3E3-07E32282EF4E}"/>
    <cellStyle name="_Table_070201_Blog_Model v12_LVGEM project inputs" xfId="1291" xr:uid="{5E3C6A8A-0414-4D67-A7AD-505B21575CA2}"/>
    <cellStyle name="_Table_070201_Blog_Model v12_pelican" xfId="1292" xr:uid="{A2F23E81-E58A-43E6-A302-58BD37A23FD4}"/>
    <cellStyle name="_Table_070201_Blog_Model v12_Pelican - Profit Forecast 3Aug07" xfId="1293" xr:uid="{D54F1D79-4CF4-46E5-AB87-AB32A88BAE9E}"/>
    <cellStyle name="_Table_070201_Blog_Model v12_Pelican - Profit Forecast template 11July07_chi" xfId="1294" xr:uid="{69110C11-362D-41BE-86AB-58930DD9617A}"/>
    <cellStyle name="_Table_070201_Blog_Model v12_Pelican - Profit Forecast template 29July07" xfId="1295" xr:uid="{BCA42DAF-73B2-4753-9B00-5FFBE6109358}"/>
    <cellStyle name="_Table_070201_Blog_Model v12_Pelican - Profit Forecast template 30July07" xfId="1296" xr:uid="{67BAFC35-A6FE-4DE8-BD6D-CAF63E9E6B22}"/>
    <cellStyle name="_Table_070201_Blog_Model v12_pelican.xls" xfId="1297" xr:uid="{59198D0E-ABC7-4900-A6A9-8DE2DFA6669D}"/>
    <cellStyle name="_Table_11_26  Project Homerun Model v4_NAV" xfId="1298" xr:uid="{32906A7A-03ED-44D5-A518-18992D86275D}"/>
    <cellStyle name="_Table_11_26  Project Homerun Model v4_NAV_LVGEM project inputs" xfId="1299" xr:uid="{F48BECE0-21A0-4464-89C0-CB26AE9121DF}"/>
    <cellStyle name="_Table_11_26  Project Homerun Model v4_NAV_pelican" xfId="1300" xr:uid="{1D5E15B1-3821-4EB6-80CC-BD7FA55675B1}"/>
    <cellStyle name="_Table_11_26  Project Homerun Model v4_NAV_Pelican - Profit Forecast 3Aug07" xfId="1301" xr:uid="{A259903B-9558-4F04-ACD4-AA9344422B56}"/>
    <cellStyle name="_Table_11_26  Project Homerun Model v4_NAV_Pelican - Profit Forecast template 11July07_chi" xfId="1302" xr:uid="{534664EC-D7EB-4C56-BBDC-39B8403BAA7E}"/>
    <cellStyle name="_Table_11_26  Project Homerun Model v4_NAV_Pelican - Profit Forecast template 29July07" xfId="1303" xr:uid="{5F3A9ACA-98F2-414B-B489-D28B79956745}"/>
    <cellStyle name="_Table_11_26  Project Homerun Model v4_NAV_Pelican - Profit Forecast template 30July07" xfId="1304" xr:uid="{979AC85B-8B49-44C7-81F4-0FA74F60E218}"/>
    <cellStyle name="_Table_11_26  Project Homerun Model v4_NAV_pelican.xls" xfId="1305" xr:uid="{EEFB0A82-4092-454F-8789-254C3EA2215F}"/>
    <cellStyle name="_Table_beta" xfId="1306" xr:uid="{BFA0AFD0-F1FA-42D6-895B-8F615607599D}"/>
    <cellStyle name="_Table_beta_LVGEM project inputs" xfId="1307" xr:uid="{50AEF4DC-871D-464D-80F4-4E5558BE19A7}"/>
    <cellStyle name="_Table_beta_pelican" xfId="1308" xr:uid="{0A135FCD-BA8B-4C19-A368-40A8DA1EBFC5}"/>
    <cellStyle name="_Table_beta_Pelican - Profit Forecast 3Aug07" xfId="1309" xr:uid="{9E0E6427-9697-481D-ABFE-62BF9989DDF1}"/>
    <cellStyle name="_Table_beta_Pelican - Profit Forecast template 11July07_chi" xfId="1310" xr:uid="{FB5B6D74-1F05-459F-A8D6-30906598B2CD}"/>
    <cellStyle name="_Table_beta_Pelican - Profit Forecast template 29July07" xfId="1311" xr:uid="{6111C128-7BCF-461E-B8AD-CED3F5C09DEF}"/>
    <cellStyle name="_Table_beta_Pelican - Profit Forecast template 30July07" xfId="1312" xr:uid="{F80F5D0E-BBB7-470C-9172-DB4ED858D688}"/>
    <cellStyle name="_Table_beta_pelican.xls" xfId="1313" xr:uid="{0EA6812E-2B0C-4B8F-969B-78DD05C14F7E}"/>
    <cellStyle name="_Table_beta_Project Sunflower v24" xfId="1314" xr:uid="{4F1A2A68-F19D-4B87-A8F8-6963FD185B5E}"/>
    <cellStyle name="_Table_beta_Project Sunflower v24_LVGEM project inputs" xfId="1315" xr:uid="{CF604426-CF42-4153-A0DB-085844A23C93}"/>
    <cellStyle name="_Table_beta_Project Sunflower v24_pelican" xfId="1316" xr:uid="{0D696F04-8731-4AAE-B414-50A6BB7597AB}"/>
    <cellStyle name="_Table_beta_Project Sunflower v24_Pelican - Profit Forecast 3Aug07" xfId="1317" xr:uid="{E30534BD-E565-41C5-9C71-2494681079AC}"/>
    <cellStyle name="_Table_beta_Project Sunflower v24_Pelican - Profit Forecast template 11July07_chi" xfId="1318" xr:uid="{67465299-351F-4ADF-9B8E-F04798E314B0}"/>
    <cellStyle name="_Table_beta_Project Sunflower v24_Pelican - Profit Forecast template 29July07" xfId="1319" xr:uid="{18B14C67-60E6-49A6-9D50-FC8C9D291E03}"/>
    <cellStyle name="_Table_beta_Project Sunflower v24_Pelican - Profit Forecast template 30July07" xfId="1320" xr:uid="{9907991A-82BE-4BC8-96D1-429B0E6A3478}"/>
    <cellStyle name="_Table_beta_Project Sunflower v24_pelican.xls" xfId="1321" xr:uid="{FBC34A61-2241-4898-8734-CDFEDE3F272B}"/>
    <cellStyle name="_Table_beta_Project Sunflower v25" xfId="1322" xr:uid="{AF8AEBA3-0DA4-4B2D-A88E-F31713555D97}"/>
    <cellStyle name="_Table_beta_Project Sunflower v25_LVGEM project inputs" xfId="1323" xr:uid="{473582FA-4250-4142-B06A-8873DC55F7B1}"/>
    <cellStyle name="_Table_beta_Project Sunflower v25_pelican" xfId="1324" xr:uid="{E6A91D0E-B8BC-4600-A0DF-FFCE63FF7BAE}"/>
    <cellStyle name="_Table_beta_Project Sunflower v25_Pelican - Profit Forecast 3Aug07" xfId="1325" xr:uid="{C46B0F7F-44E2-45B9-BFC7-9D3196DB2AA5}"/>
    <cellStyle name="_Table_beta_Project Sunflower v25_Pelican - Profit Forecast template 11July07_chi" xfId="1326" xr:uid="{C2C08456-22DA-476C-8196-E6D76879C08A}"/>
    <cellStyle name="_Table_beta_Project Sunflower v25_Pelican - Profit Forecast template 29July07" xfId="1327" xr:uid="{C9AE9850-DA0F-4A0C-8831-E6629FA9CCE0}"/>
    <cellStyle name="_Table_beta_Project Sunflower v25_Pelican - Profit Forecast template 30July07" xfId="1328" xr:uid="{CD53D36A-8723-4C94-B590-E021B7AC748A}"/>
    <cellStyle name="_Table_beta_Project Sunflower v25_pelican.xls" xfId="1329" xr:uid="{6353A84E-1839-4118-89D3-B2C08546C3F2}"/>
    <cellStyle name="_Table_Consolidated Statement of Changes in Equity" xfId="1330" xr:uid="{BEA3799C-D605-4071-A140-A330CFD11764}"/>
    <cellStyle name="_Table_Consolidated Statement of Changes in Equity (2)" xfId="1331" xr:uid="{13B46799-73B1-4735-BF32-576E63E2396F}"/>
    <cellStyle name="_Table_Consolidated Statement of Changes in Equity (2)_LVGEM project inputs" xfId="1332" xr:uid="{68C429A6-C9EE-4000-9EA9-C7EF34F8828D}"/>
    <cellStyle name="_Table_Consolidated Statement of Changes in Equity (2)_pelican" xfId="1333" xr:uid="{251F1081-D054-4E63-91FE-F91BFD5FC3D5}"/>
    <cellStyle name="_Table_Consolidated Statement of Changes in Equity (2)_Pelican - Profit Forecast 3Aug07" xfId="1334" xr:uid="{7C986C16-37D9-401B-BE27-C975796A564D}"/>
    <cellStyle name="_Table_Consolidated Statement of Changes in Equity (2)_Pelican - Profit Forecast template 11July07_chi" xfId="1335" xr:uid="{82BE3A0E-2608-4D57-A80D-A6672C06C5BD}"/>
    <cellStyle name="_Table_Consolidated Statement of Changes in Equity (2)_Pelican - Profit Forecast template 29July07" xfId="1336" xr:uid="{021B5217-171F-43E7-A29D-E4E0A9ABE7C2}"/>
    <cellStyle name="_Table_Consolidated Statement of Changes in Equity (2)_Pelican - Profit Forecast template 30July07" xfId="1337" xr:uid="{2EB5F156-D8BD-4D54-B8F6-B6D5BBB24584}"/>
    <cellStyle name="_Table_Consolidated Statement of Changes in Equity (2)_pelican.xls" xfId="1338" xr:uid="{B2EAA732-D60A-4AB3-8711-0E9A4C33F60A}"/>
    <cellStyle name="_Table_Consolidated Statement of Changes in Equity_LVGEM project inputs" xfId="1339" xr:uid="{63E8E911-100D-4AD8-989B-B676A903028B}"/>
    <cellStyle name="_Table_Consolidated Statement of Changes in Equity_pelican" xfId="1340" xr:uid="{CD6232F8-CF22-49E3-BFEC-6EAF4FCD8766}"/>
    <cellStyle name="_Table_Consolidated Statement of Changes in Equity_Pelican - Profit Forecast 3Aug07" xfId="1341" xr:uid="{0D531CB2-43ED-42B8-AFDB-62E851B908A7}"/>
    <cellStyle name="_Table_Consolidated Statement of Changes in Equity_Pelican - Profit Forecast template 11July07_chi" xfId="1342" xr:uid="{EF2FD179-34AE-41D6-9DCA-E0378175215E}"/>
    <cellStyle name="_Table_Consolidated Statement of Changes in Equity_Pelican - Profit Forecast template 29July07" xfId="1343" xr:uid="{C05D22FA-B10B-4A43-A36D-3D3B7A6867B1}"/>
    <cellStyle name="_Table_Consolidated Statement of Changes in Equity_Pelican - Profit Forecast template 30July07" xfId="1344" xr:uid="{64714A4D-F270-43D7-BA06-FEB628237777}"/>
    <cellStyle name="_Table_Consolidated Statement of Changes in Equity_pelican.xls" xfId="1345" xr:uid="{68095434-D7BD-44E8-BF9D-699764D7A7A9}"/>
    <cellStyle name="_Table_dcf" xfId="1346" xr:uid="{791469C3-E335-4865-93B1-78F1CF91A135}"/>
    <cellStyle name="_Table_DCF Model_v7" xfId="1347" xr:uid="{346598F6-C0EC-479E-962C-A1A77209E980}"/>
    <cellStyle name="_Table_DCF Model_v7_LVGEM project inputs" xfId="1348" xr:uid="{8A510243-FA43-4D30-9A74-29F9C4E7ED18}"/>
    <cellStyle name="_Table_DCF Model_v7_pelican" xfId="1349" xr:uid="{410AC158-8577-428A-907C-1854D92FA751}"/>
    <cellStyle name="_Table_DCF Model_v7_Pelican - Profit Forecast 3Aug07" xfId="1350" xr:uid="{BA12742C-58F8-4222-8C96-1E248BF59EFA}"/>
    <cellStyle name="_Table_DCF Model_v7_Pelican - Profit Forecast template 11July07_chi" xfId="1351" xr:uid="{620CA235-8D21-4E2D-9FB2-45CCF90AF5D7}"/>
    <cellStyle name="_Table_DCF Model_v7_Pelican - Profit Forecast template 29July07" xfId="1352" xr:uid="{841AC288-2CE6-4C85-BD32-E7C0C67DCD9E}"/>
    <cellStyle name="_Table_DCF Model_v7_Pelican - Profit Forecast template 30July07" xfId="1353" xr:uid="{09827A8A-D179-4688-BDCA-F522B6D31935}"/>
    <cellStyle name="_Table_DCF Model_v7_pelican.xls" xfId="1354" xr:uid="{F59059B1-AFE3-4CEA-A237-17124F97C494}"/>
    <cellStyle name="_Table_DCF Model_v7_Project Sunflower v24" xfId="1355" xr:uid="{30F003E1-A63A-4C5D-B50F-001F45E45445}"/>
    <cellStyle name="_Table_DCF Model_v7_Project Sunflower v24_LVGEM project inputs" xfId="1356" xr:uid="{F89C7727-137E-45C5-AA52-E3DA62B2DF34}"/>
    <cellStyle name="_Table_DCF Model_v7_Project Sunflower v24_pelican" xfId="1357" xr:uid="{38BC9C71-777E-451A-A3ED-F2489242F6B3}"/>
    <cellStyle name="_Table_DCF Model_v7_Project Sunflower v24_Pelican - Profit Forecast 3Aug07" xfId="1358" xr:uid="{BBDFD5B6-6E8C-44AE-8EEA-998F9BDDD010}"/>
    <cellStyle name="_Table_DCF Model_v7_Project Sunflower v24_Pelican - Profit Forecast template 11July07_chi" xfId="1359" xr:uid="{A55B8882-F9ED-49FF-83AE-8AED2BDF027D}"/>
    <cellStyle name="_Table_DCF Model_v7_Project Sunflower v24_Pelican - Profit Forecast template 29July07" xfId="1360" xr:uid="{C8811859-1CF3-419A-B823-299CA6E371EC}"/>
    <cellStyle name="_Table_DCF Model_v7_Project Sunflower v24_Pelican - Profit Forecast template 30July07" xfId="1361" xr:uid="{AE451C7A-1C1D-4DFF-9CEE-69F7CE11AB8A}"/>
    <cellStyle name="_Table_DCF Model_v7_Project Sunflower v24_pelican.xls" xfId="1362" xr:uid="{7C1F5402-2B91-4862-9B7C-3D2114E196D0}"/>
    <cellStyle name="_Table_DCF Model_v7_Project Sunflower v25" xfId="1363" xr:uid="{0CAE3E17-8544-4F6B-B96C-164F7FD4F1E9}"/>
    <cellStyle name="_Table_DCF Model_v7_Project Sunflower v25_LVGEM project inputs" xfId="1364" xr:uid="{69639245-901A-4621-943E-78C7C40E003B}"/>
    <cellStyle name="_Table_DCF Model_v7_Project Sunflower v25_pelican" xfId="1365" xr:uid="{996B0195-BC88-4D26-9D59-1F5952329FF1}"/>
    <cellStyle name="_Table_DCF Model_v7_Project Sunflower v25_Pelican - Profit Forecast 3Aug07" xfId="1366" xr:uid="{7789DD05-3F1B-49C8-9C42-1BA5A1677BE6}"/>
    <cellStyle name="_Table_DCF Model_v7_Project Sunflower v25_Pelican - Profit Forecast template 11July07_chi" xfId="1367" xr:uid="{B28E673D-DA75-408A-B544-8E2F2B8C7302}"/>
    <cellStyle name="_Table_DCF Model_v7_Project Sunflower v25_Pelican - Profit Forecast template 29July07" xfId="1368" xr:uid="{553166E7-DBB7-4C38-B3A5-E6DD2247095E}"/>
    <cellStyle name="_Table_DCF Model_v7_Project Sunflower v25_Pelican - Profit Forecast template 30July07" xfId="1369" xr:uid="{4617B7FD-E8CC-4E86-B25E-119E95DA2D32}"/>
    <cellStyle name="_Table_DCF Model_v7_Project Sunflower v25_pelican.xls" xfId="1370" xr:uid="{BE2C0026-ED12-4D28-B717-FB16CB1D0ED0}"/>
    <cellStyle name="_Table_DCF_050422" xfId="1371" xr:uid="{4A06E4D5-E543-46BC-8059-B6C759E9CE39}"/>
    <cellStyle name="_Table_DCF_050422_LVGEM project inputs" xfId="1372" xr:uid="{DFEEA65B-3BDE-4B40-9D82-FCB8A6C47EF8}"/>
    <cellStyle name="_Table_DCF_050422_pelican" xfId="1373" xr:uid="{077F8F33-1CBE-46C8-A88A-23C20882B9ED}"/>
    <cellStyle name="_Table_DCF_050422_Pelican - Profit Forecast 3Aug07" xfId="1374" xr:uid="{5F2188B6-70AE-456E-9400-7BB986981AE2}"/>
    <cellStyle name="_Table_DCF_050422_Pelican - Profit Forecast template 11July07_chi" xfId="1375" xr:uid="{D13E7E87-10C1-456E-A1D1-B64F95B9FE90}"/>
    <cellStyle name="_Table_DCF_050422_Pelican - Profit Forecast template 29July07" xfId="1376" xr:uid="{FB78AF63-2F70-48B7-BFBE-6A28FBCA3876}"/>
    <cellStyle name="_Table_DCF_050422_Pelican - Profit Forecast template 30July07" xfId="1377" xr:uid="{D9CBF7E9-3B92-46D9-AA8C-FCCBFEB8F804}"/>
    <cellStyle name="_Table_DCF_050422_pelican.xls" xfId="1378" xr:uid="{1D085444-E2E5-4BB1-8F15-779923AA0BED}"/>
    <cellStyle name="_Table_DCF_050422_Project Sunflower v24" xfId="1379" xr:uid="{41323D81-AF06-4D80-A11C-051708C4566B}"/>
    <cellStyle name="_Table_DCF_050422_Project Sunflower v24_LVGEM project inputs" xfId="1380" xr:uid="{9B938D5C-1296-4076-A197-BCACDE162876}"/>
    <cellStyle name="_Table_DCF_050422_Project Sunflower v24_pelican" xfId="1381" xr:uid="{F5C6CCAF-C6FC-449D-95BF-A3F632A1DF83}"/>
    <cellStyle name="_Table_DCF_050422_Project Sunflower v24_Pelican - Profit Forecast 3Aug07" xfId="1382" xr:uid="{71614573-9574-468C-B7CC-397CCCCC3497}"/>
    <cellStyle name="_Table_DCF_050422_Project Sunflower v24_Pelican - Profit Forecast template 11July07_chi" xfId="1383" xr:uid="{C48B7B92-E104-4724-881B-71761EB5BEA2}"/>
    <cellStyle name="_Table_DCF_050422_Project Sunflower v24_Pelican - Profit Forecast template 29July07" xfId="1384" xr:uid="{8A0B1F34-071F-444B-B6F4-B0C414F89FC4}"/>
    <cellStyle name="_Table_DCF_050422_Project Sunflower v24_Pelican - Profit Forecast template 30July07" xfId="1385" xr:uid="{5DD18C9C-E161-440C-AA63-D3B262B194F4}"/>
    <cellStyle name="_Table_DCF_050422_Project Sunflower v24_pelican.xls" xfId="1386" xr:uid="{0DC1AD62-64E4-4975-A6A7-20607C853934}"/>
    <cellStyle name="_Table_DCF_050422_Project Sunflower v25" xfId="1387" xr:uid="{B777FC2B-3CFC-4A1D-B755-4E953C343362}"/>
    <cellStyle name="_Table_DCF_050422_Project Sunflower v25_LVGEM project inputs" xfId="1388" xr:uid="{529BFCE1-3D98-416E-8287-66BA5A31BAF8}"/>
    <cellStyle name="_Table_DCF_050422_Project Sunflower v25_pelican" xfId="1389" xr:uid="{3EB13D8F-B3B9-471A-820B-1AF57A640A2E}"/>
    <cellStyle name="_Table_DCF_050422_Project Sunflower v25_Pelican - Profit Forecast 3Aug07" xfId="1390" xr:uid="{A20292CF-FF21-427C-A13A-B5F562099579}"/>
    <cellStyle name="_Table_DCF_050422_Project Sunflower v25_Pelican - Profit Forecast template 11July07_chi" xfId="1391" xr:uid="{94A05CB8-0623-4E24-96EC-2C41D078EC20}"/>
    <cellStyle name="_Table_DCF_050422_Project Sunflower v25_Pelican - Profit Forecast template 29July07" xfId="1392" xr:uid="{C05A0BEE-A3E4-4FA1-87D4-E40105C13DCB}"/>
    <cellStyle name="_Table_DCF_050422_Project Sunflower v25_Pelican - Profit Forecast template 30July07" xfId="1393" xr:uid="{11F69AB0-9897-4572-A02E-B21698ABFE2E}"/>
    <cellStyle name="_Table_DCF_050422_Project Sunflower v25_pelican.xls" xfId="1394" xr:uid="{FFBA8075-24DE-4FA4-8DD9-0538828E48F4}"/>
    <cellStyle name="_Table_dcf_LVGEM project inputs" xfId="1395" xr:uid="{53B9942C-E434-4778-ABE2-238E25E1FF1A}"/>
    <cellStyle name="_Table_dcf_pelican" xfId="1396" xr:uid="{4F7C9DDA-69C7-42D9-B85F-FBED68A75954}"/>
    <cellStyle name="_Table_dcf_Pelican - Profit Forecast 3Aug07" xfId="1397" xr:uid="{DA829991-B760-4290-8904-6B248D125182}"/>
    <cellStyle name="_Table_dcf_Pelican - Profit Forecast template 11July07_chi" xfId="1398" xr:uid="{614DD1A2-83EA-4BEA-A3E8-E113C36AB3CC}"/>
    <cellStyle name="_Table_dcf_Pelican - Profit Forecast template 29July07" xfId="1399" xr:uid="{5358430B-D335-406A-A940-A03450803CA7}"/>
    <cellStyle name="_Table_dcf_Pelican - Profit Forecast template 30July07" xfId="1400" xr:uid="{B221FDA9-7AC3-427F-9211-C23288B10D91}"/>
    <cellStyle name="_Table_dcf_pelican.xls" xfId="1401" xr:uid="{1B8B0D3C-F562-4A4D-BEEB-25207444691F}"/>
    <cellStyle name="_Table_dcf_Project Sunflower v24" xfId="1402" xr:uid="{57B69855-110D-4B7A-BA08-7D095AA33ACB}"/>
    <cellStyle name="_Table_dcf_Project Sunflower v24_LVGEM project inputs" xfId="1403" xr:uid="{9FD0C436-8D95-4857-98E4-606D58EE9282}"/>
    <cellStyle name="_Table_dcf_Project Sunflower v24_pelican" xfId="1404" xr:uid="{9C63AF1B-BD8E-4948-9F06-8A3F7CE54DF1}"/>
    <cellStyle name="_Table_dcf_Project Sunflower v24_Pelican - Profit Forecast 3Aug07" xfId="1405" xr:uid="{0D88FFCD-7C6A-46C0-8BE4-15FB317A93E8}"/>
    <cellStyle name="_Table_dcf_Project Sunflower v24_Pelican - Profit Forecast template 11July07_chi" xfId="1406" xr:uid="{F2656392-F058-4437-AEFF-39B6D3E847B3}"/>
    <cellStyle name="_Table_dcf_Project Sunflower v24_Pelican - Profit Forecast template 29July07" xfId="1407" xr:uid="{8CFC650F-7017-4D13-AC28-25E7CE696730}"/>
    <cellStyle name="_Table_dcf_Project Sunflower v24_Pelican - Profit Forecast template 30July07" xfId="1408" xr:uid="{50B9FA52-D2DD-45B8-B7E0-724496C07B47}"/>
    <cellStyle name="_Table_dcf_Project Sunflower v24_pelican.xls" xfId="1409" xr:uid="{0C03DE4D-5913-4DAF-B495-34E37DE764BC}"/>
    <cellStyle name="_Table_dcf_Project Sunflower v25" xfId="1410" xr:uid="{0409986A-B013-4564-A20E-B668B85C59A2}"/>
    <cellStyle name="_Table_dcf_Project Sunflower v25_LVGEM project inputs" xfId="1411" xr:uid="{74165084-EE9B-41AE-A5D0-F4A1F2F4E5CE}"/>
    <cellStyle name="_Table_dcf_Project Sunflower v25_pelican" xfId="1412" xr:uid="{F2B8DDFC-2208-46C3-B185-082B573584E9}"/>
    <cellStyle name="_Table_dcf_Project Sunflower v25_Pelican - Profit Forecast 3Aug07" xfId="1413" xr:uid="{FB68BBF3-6F20-443F-B2EE-84C8F428A1FF}"/>
    <cellStyle name="_Table_dcf_Project Sunflower v25_Pelican - Profit Forecast template 11July07_chi" xfId="1414" xr:uid="{6736A694-4374-4F5F-975B-EB80C74F5AB7}"/>
    <cellStyle name="_Table_dcf_Project Sunflower v25_Pelican - Profit Forecast template 29July07" xfId="1415" xr:uid="{8E69341F-1469-40FC-AEF6-D88AC361A91C}"/>
    <cellStyle name="_Table_dcf_Project Sunflower v25_Pelican - Profit Forecast template 30July07" xfId="1416" xr:uid="{5329E759-0C34-45E9-B81B-CFA364802EB3}"/>
    <cellStyle name="_Table_dcf_Project Sunflower v25_pelican.xls" xfId="1417" xr:uid="{20CA163C-97A8-4861-A43C-899248AA00FA}"/>
    <cellStyle name="_Table_Financial Model_v13" xfId="1418" xr:uid="{D9585882-8D0D-4362-BE96-7578F7881925}"/>
    <cellStyle name="_Table_Financial Model_v13_LVGEM project inputs" xfId="1419" xr:uid="{E3ADCA2F-5C49-4AD6-99BA-E878B3CB7432}"/>
    <cellStyle name="_Table_Financial Model_v13_pelican" xfId="1420" xr:uid="{B718CEFE-8559-4C21-90A2-6B1E891F4A00}"/>
    <cellStyle name="_Table_Financial Model_v13_Pelican - Profit Forecast 3Aug07" xfId="1421" xr:uid="{30421FDE-8440-42F5-BCC1-3F02BE4B92F7}"/>
    <cellStyle name="_Table_Financial Model_v13_Pelican - Profit Forecast template 11July07_chi" xfId="1422" xr:uid="{64CB9494-3869-4A4D-A736-999500F70C98}"/>
    <cellStyle name="_Table_Financial Model_v13_Pelican - Profit Forecast template 29July07" xfId="1423" xr:uid="{1044FF4D-0BCE-4FFE-AA71-947AE0D9F85F}"/>
    <cellStyle name="_Table_Financial Model_v13_Pelican - Profit Forecast template 30July07" xfId="1424" xr:uid="{1DBF7DCE-B8D0-49DF-817B-043F9CC5D751}"/>
    <cellStyle name="_Table_Financial Model_v13_pelican.xls" xfId="1425" xr:uid="{BE3BBD12-92C2-47E6-8B59-E749B2211691}"/>
    <cellStyle name="_Table_fund model 5" xfId="1426" xr:uid="{303DA28C-EACE-4A5F-A8FE-6B64D75A093F}"/>
    <cellStyle name="_Table_fund model 5_LVGEM project inputs" xfId="1427" xr:uid="{F5CC55FF-92D5-4F19-B991-07CEB5F2BBD6}"/>
    <cellStyle name="_Table_fund model 5_pelican" xfId="1428" xr:uid="{D6742015-2D5E-44BB-BE6A-190B3456665B}"/>
    <cellStyle name="_Table_fund model 5_Pelican - Profit Forecast 3Aug07" xfId="1429" xr:uid="{66779970-C5CA-4E73-B99E-3074A3F7E56F}"/>
    <cellStyle name="_Table_fund model 5_Pelican - Profit Forecast template 11July07_chi" xfId="1430" xr:uid="{FCEE1544-55F7-4805-A802-9F2FAF1B1850}"/>
    <cellStyle name="_Table_fund model 5_Pelican - Profit Forecast template 29July07" xfId="1431" xr:uid="{F7DCFF27-F8E3-48C7-9814-7D71709F36C6}"/>
    <cellStyle name="_Table_fund model 5_Pelican - Profit Forecast template 30July07" xfId="1432" xr:uid="{73C7CD1B-FD5A-4049-9AD4-BF722E365631}"/>
    <cellStyle name="_Table_fund model 5_pelican.xls" xfId="1433" xr:uid="{87DF1FFC-23F4-4E0E-A5C2-40E0385586D0}"/>
    <cellStyle name="_Table_Mindray Medical Intl Ltd Consolidated" xfId="1434" xr:uid="{12AF2C6B-3B38-472D-8E8D-E2CA0EA7569F}"/>
    <cellStyle name="_Table_Mindray Medical Intl Ltd Consolidated_LVGEM project inputs" xfId="1435" xr:uid="{FFDCE7D8-D258-4E0D-ACE6-7F60EEF08C38}"/>
    <cellStyle name="_Table_Mindray Medical Intl Ltd Consolidated_pelican" xfId="1436" xr:uid="{EA57F22E-B3C8-48B1-A457-5C0677089B80}"/>
    <cellStyle name="_Table_Mindray Medical Intl Ltd Consolidated_Pelican - Profit Forecast 3Aug07" xfId="1437" xr:uid="{4138B79F-9068-4D0A-9F55-6025E1F7A82B}"/>
    <cellStyle name="_Table_Mindray Medical Intl Ltd Consolidated_Pelican - Profit Forecast template 11July07_chi" xfId="1438" xr:uid="{7476E1CA-688E-4C5B-A770-47CA6F70707D}"/>
    <cellStyle name="_Table_Mindray Medical Intl Ltd Consolidated_Pelican - Profit Forecast template 29July07" xfId="1439" xr:uid="{5CCBF106-8870-4B6F-A0C8-5438D541129C}"/>
    <cellStyle name="_Table_Mindray Medical Intl Ltd Consolidated_Pelican - Profit Forecast template 30July07" xfId="1440" xr:uid="{ADF1273D-1DA4-4CEE-867D-5FEBF083EDED}"/>
    <cellStyle name="_Table_Mindray Medical Intl Ltd Consolidated_pelican.xls" xfId="1441" xr:uid="{16C2A87E-4A5C-4264-B8C4-D76393DEFAC9}"/>
    <cellStyle name="_Table_Page no-115" xfId="1442" xr:uid="{57A89530-F7B6-4AAD-8164-9A7BCA696A39}"/>
    <cellStyle name="_Table_Page no-115_LVGEM project inputs" xfId="1443" xr:uid="{F1B65BD3-2B98-4CBA-B5D3-3A1C4DD36434}"/>
    <cellStyle name="_Table_Page no-115_pelican" xfId="1444" xr:uid="{3587E07E-70E3-44A8-87A0-D6706250B734}"/>
    <cellStyle name="_Table_Page no-115_Pelican - Profit Forecast 3Aug07" xfId="1445" xr:uid="{276D8B0C-DAC9-42DB-8B4C-1F248352F649}"/>
    <cellStyle name="_Table_Page no-115_Pelican - Profit Forecast template 11July07_chi" xfId="1446" xr:uid="{AE917904-2DEA-4A1B-B8DF-CD6BEDC63111}"/>
    <cellStyle name="_Table_Page no-115_Pelican - Profit Forecast template 29July07" xfId="1447" xr:uid="{25A5E929-5751-4277-93FF-586BE66A7D34}"/>
    <cellStyle name="_Table_Page no-115_Pelican - Profit Forecast template 30July07" xfId="1448" xr:uid="{18052FE2-5F35-41BB-9693-C5E8BA96550C}"/>
    <cellStyle name="_Table_Page no-115_pelican.xls" xfId="1449" xr:uid="{0AC20F52-3B70-4EA5-9C15-21046293E8FF}"/>
    <cellStyle name="_Table_Project Sunflower v26_CommCommFinal_(print)" xfId="1450" xr:uid="{18DDF3EC-5017-440D-997E-5539637D7240}"/>
    <cellStyle name="_Table_Project Sunflower v26_CommCommFinal_(print)_LVGEM project inputs" xfId="1451" xr:uid="{AA53F8FB-BC5D-484A-B205-75478FF5DDC4}"/>
    <cellStyle name="_Table_Project Sunflower v26_CommCommFinal_(print)_pelican" xfId="1452" xr:uid="{217C43E6-39C4-4D18-8D90-221D1F139C01}"/>
    <cellStyle name="_Table_Project Sunflower v26_CommCommFinal_(print)_Pelican - Profit Forecast 3Aug07" xfId="1453" xr:uid="{B4955539-74EF-4A65-A122-CADDB3D2ACDB}"/>
    <cellStyle name="_Table_Project Sunflower v26_CommCommFinal_(print)_Pelican - Profit Forecast template 11July07_chi" xfId="1454" xr:uid="{7C901CF2-1749-4E60-AD2F-E74FD266AE64}"/>
    <cellStyle name="_Table_Project Sunflower v26_CommCommFinal_(print)_Pelican - Profit Forecast template 29July07" xfId="1455" xr:uid="{5A70BC9F-9C2C-46CE-BD4F-376E30E261F2}"/>
    <cellStyle name="_Table_Project Sunflower v26_CommCommFinal_(print)_Pelican - Profit Forecast template 30July07" xfId="1456" xr:uid="{848A170A-06BC-428D-B3DD-C8BA8DCF6815}"/>
    <cellStyle name="_Table_Project Sunflower v26_CommCommFinal_(print)_pelican.xls" xfId="1457" xr:uid="{F21D1021-A0F6-4F15-A238-4D58938293B6}"/>
    <cellStyle name="_Table_Shanghai DCF 13_JV 70%_New B shares_playing 2" xfId="1458" xr:uid="{D03EDC9B-D071-488F-84F5-F37F3C8475A1}"/>
    <cellStyle name="_Table_Shanghai DCF 13_JV 70%_New B shares_playing 2_LVGEM project inputs" xfId="1459" xr:uid="{6678FFF8-7339-4E81-A6DD-A1180253E51F}"/>
    <cellStyle name="_Table_Shanghai DCF 13_JV 70%_New B shares_playing 2_pelican" xfId="1460" xr:uid="{70ABBAD5-86F1-42EE-BBD5-84A55792239F}"/>
    <cellStyle name="_Table_Shanghai DCF 13_JV 70%_New B shares_playing 2_Pelican - Profit Forecast 3Aug07" xfId="1461" xr:uid="{9A6868D9-6320-479D-986D-8737E9C6857E}"/>
    <cellStyle name="_Table_Shanghai DCF 13_JV 70%_New B shares_playing 2_Pelican - Profit Forecast template 11July07_chi" xfId="1462" xr:uid="{5E2B2DF0-DE95-4137-A586-87603766E3EC}"/>
    <cellStyle name="_Table_Shanghai DCF 13_JV 70%_New B shares_playing 2_Pelican - Profit Forecast template 29July07" xfId="1463" xr:uid="{63A81B45-6DF6-4EF6-A390-E8BACA7E3C33}"/>
    <cellStyle name="_Table_Shanghai DCF 13_JV 70%_New B shares_playing 2_Pelican - Profit Forecast template 30July07" xfId="1464" xr:uid="{1FB1B297-107B-4509-866F-830C02FFD25E}"/>
    <cellStyle name="_Table_Shanghai DCF 13_JV 70%_New B shares_playing 2_pelican.xls" xfId="1465" xr:uid="{3D91CBFB-6A65-4BFD-9EFF-CC86080470AD}"/>
    <cellStyle name="_Table_Shanghai DCF 13_JV 70%_New B shares_playing 2_Project Sunflower v24" xfId="1466" xr:uid="{256E8D44-EEF0-4A82-8A9D-8E73DA339D3D}"/>
    <cellStyle name="_Table_Shanghai DCF 13_JV 70%_New B shares_playing 2_Project Sunflower v24_LVGEM project inputs" xfId="1467" xr:uid="{67D6826F-96AA-4748-9077-0BA85D73B503}"/>
    <cellStyle name="_Table_Shanghai DCF 13_JV 70%_New B shares_playing 2_Project Sunflower v24_pelican" xfId="1468" xr:uid="{DFE52AF7-3989-4EB3-91DD-CE6902401EAA}"/>
    <cellStyle name="_Table_Shanghai DCF 13_JV 70%_New B shares_playing 2_Project Sunflower v24_Pelican - Profit Forecast 3Aug07" xfId="1469" xr:uid="{52614E38-E1DC-45E5-BCB6-7A662861E568}"/>
    <cellStyle name="_Table_Shanghai DCF 13_JV 70%_New B shares_playing 2_Project Sunflower v24_Pelican - Profit Forecast template 11July07_chi" xfId="1470" xr:uid="{A7672AF4-DD6F-4767-B0D8-322874C57103}"/>
    <cellStyle name="_Table_Shanghai DCF 13_JV 70%_New B shares_playing 2_Project Sunflower v24_Pelican - Profit Forecast template 29July07" xfId="1471" xr:uid="{754429C5-3C34-46E4-B1D1-5CA6EFF5C883}"/>
    <cellStyle name="_Table_Shanghai DCF 13_JV 70%_New B shares_playing 2_Project Sunflower v24_Pelican - Profit Forecast template 30July07" xfId="1472" xr:uid="{839FCB34-6EF5-4B0B-9A77-0056A3C9082F}"/>
    <cellStyle name="_Table_Shanghai DCF 13_JV 70%_New B shares_playing 2_Project Sunflower v24_pelican.xls" xfId="1473" xr:uid="{20132720-77A2-4D20-AADC-E48EFF28ADBA}"/>
    <cellStyle name="_Table_Shanghai DCF 13_JV 70%_New B shares_playing 2_Project Sunflower v25" xfId="1474" xr:uid="{9A6058B1-11A0-46FB-AED5-BFB098A7B2AC}"/>
    <cellStyle name="_Table_Shanghai DCF 13_JV 70%_New B shares_playing 2_Project Sunflower v25_LVGEM project inputs" xfId="1475" xr:uid="{4CAFBA3C-EBE6-4B0A-A81A-8D0E27BE0EEA}"/>
    <cellStyle name="_Table_Shanghai DCF 13_JV 70%_New B shares_playing 2_Project Sunflower v25_pelican" xfId="1476" xr:uid="{5039211F-628D-4767-9ED7-E066479229E6}"/>
    <cellStyle name="_Table_Shanghai DCF 13_JV 70%_New B shares_playing 2_Project Sunflower v25_Pelican - Profit Forecast 3Aug07" xfId="1477" xr:uid="{DD923D0E-409C-4976-B624-D8A20BCBF8A6}"/>
    <cellStyle name="_Table_Shanghai DCF 13_JV 70%_New B shares_playing 2_Project Sunflower v25_Pelican - Profit Forecast template 11July07_chi" xfId="1478" xr:uid="{E3E2B0C3-8233-4A21-99C0-8A86DCE731CA}"/>
    <cellStyle name="_Table_Shanghai DCF 13_JV 70%_New B shares_playing 2_Project Sunflower v25_Pelican - Profit Forecast template 29July07" xfId="1479" xr:uid="{2BAA05E9-F69D-4D26-8064-F920F15DE6B2}"/>
    <cellStyle name="_Table_Shanghai DCF 13_JV 70%_New B shares_playing 2_Project Sunflower v25_Pelican - Profit Forecast template 30July07" xfId="1480" xr:uid="{7F08DCB7-F0AE-4816-9A8E-654F8A185CC7}"/>
    <cellStyle name="_Table_Shanghai DCF 13_JV 70%_New B shares_playing 2_Project Sunflower v25_pelican.xls" xfId="1481" xr:uid="{06AB46C7-0065-48D5-BA3C-01D9C17E2EC2}"/>
    <cellStyle name="_Table_Shimao Valuation Model_v49_BH_Comm Comm_v5" xfId="1482" xr:uid="{D0A4FFA6-9502-43FE-9145-B7616DCF5D45}"/>
    <cellStyle name="_Table_Shimao Valuation Model_v49_BH_Comm Comm_v5_LVGEM project inputs" xfId="1483" xr:uid="{8129CD23-5F5D-4911-8EB7-CFA3043476C4}"/>
    <cellStyle name="_Table_Shimao Valuation Model_v49_BH_Comm Comm_v5_pelican" xfId="1484" xr:uid="{0DA293F3-0FA2-449C-8029-B9F7C8F15C3B}"/>
    <cellStyle name="_Table_Shimao Valuation Model_v49_BH_Comm Comm_v5_Pelican - Profit Forecast 3Aug07" xfId="1485" xr:uid="{E302A29D-E893-4DDB-8C8B-6690656DB58C}"/>
    <cellStyle name="_Table_Shimao Valuation Model_v49_BH_Comm Comm_v5_Pelican - Profit Forecast template 11July07_chi" xfId="1486" xr:uid="{25E5D697-BD6F-423C-975E-DB80F34324FD}"/>
    <cellStyle name="_Table_Shimao Valuation Model_v49_BH_Comm Comm_v5_Pelican - Profit Forecast template 29July07" xfId="1487" xr:uid="{94D26DF0-2B84-4CB9-AEA8-22FB7A303AF4}"/>
    <cellStyle name="_Table_Shimao Valuation Model_v49_BH_Comm Comm_v5_Pelican - Profit Forecast template 30July07" xfId="1488" xr:uid="{9B204239-B7AF-44B8-8E81-FB0BF42B4ED9}"/>
    <cellStyle name="_Table_Shimao Valuation Model_v49_BH_Comm Comm_v5_pelican.xls" xfId="1489" xr:uid="{A4F964A4-807B-4FA4-BBB1-FABCB54625C3}"/>
    <cellStyle name="_Table_Sinochem DCF version 15" xfId="1490" xr:uid="{29D393D5-D553-482E-B617-5D7E8C9BE4F5}"/>
    <cellStyle name="_Table_Sinochem DCF version 15_LVGEM project inputs" xfId="1491" xr:uid="{8E7C87EF-7B5F-408C-8DD6-1E022907051D}"/>
    <cellStyle name="_Table_Sinochem DCF version 15_pelican" xfId="1492" xr:uid="{A4034F55-DAA3-4918-A14F-68B51606C0AF}"/>
    <cellStyle name="_Table_Sinochem DCF version 15_Pelican - Profit Forecast 3Aug07" xfId="1493" xr:uid="{056CC92C-01AB-4EA9-81C8-50FD269CB8B4}"/>
    <cellStyle name="_Table_Sinochem DCF version 15_Pelican - Profit Forecast template 11July07_chi" xfId="1494" xr:uid="{682EC6FC-D577-4690-AD7E-F1DFA19AECDC}"/>
    <cellStyle name="_Table_Sinochem DCF version 15_Pelican - Profit Forecast template 29July07" xfId="1495" xr:uid="{6BD57E87-FC1C-4AA1-A6D4-E80509835DEB}"/>
    <cellStyle name="_Table_Sinochem DCF version 15_Pelican - Profit Forecast template 30July07" xfId="1496" xr:uid="{71F65266-015D-4800-9483-4524AA7B7FCE}"/>
    <cellStyle name="_Table_Sinochem DCF version 15_pelican.xls" xfId="1497" xr:uid="{5728105A-4874-4AC4-B5CA-FE630AC102BF}"/>
    <cellStyle name="_Table_Sinochem DCF version 15_Project Sunflower v24" xfId="1498" xr:uid="{AD0F88F7-23F9-440B-92E1-38902398CD96}"/>
    <cellStyle name="_Table_Sinochem DCF version 15_Project Sunflower v24_LVGEM project inputs" xfId="1499" xr:uid="{03D56985-667B-430A-8266-7F73A2EBB5C6}"/>
    <cellStyle name="_Table_Sinochem DCF version 15_Project Sunflower v24_pelican" xfId="1500" xr:uid="{BEC6449E-2F05-4A91-885F-082123C7A49E}"/>
    <cellStyle name="_Table_Sinochem DCF version 15_Project Sunflower v24_Pelican - Profit Forecast 3Aug07" xfId="1501" xr:uid="{6D309C41-9399-4410-8C29-83D442BE9484}"/>
    <cellStyle name="_Table_Sinochem DCF version 15_Project Sunflower v24_Pelican - Profit Forecast template 11July07_chi" xfId="1502" xr:uid="{058949C6-B890-460A-A5CD-EFF9DB7F2690}"/>
    <cellStyle name="_Table_Sinochem DCF version 15_Project Sunflower v24_Pelican - Profit Forecast template 29July07" xfId="1503" xr:uid="{A44D5D2E-4827-4843-8281-6CBA56D6C327}"/>
    <cellStyle name="_Table_Sinochem DCF version 15_Project Sunflower v24_Pelican - Profit Forecast template 30July07" xfId="1504" xr:uid="{562F7460-5DF5-4E83-ABD3-1F56A2119367}"/>
    <cellStyle name="_Table_Sinochem DCF version 15_Project Sunflower v24_pelican.xls" xfId="1505" xr:uid="{4CE4DFDF-035B-4F7C-8605-5B983531A8D3}"/>
    <cellStyle name="_Table_Sinochem DCF version 15_Project Sunflower v25" xfId="1506" xr:uid="{1A2EB338-62CA-4E36-9D07-B99863D27C5D}"/>
    <cellStyle name="_Table_Sinochem DCF version 15_Project Sunflower v25_LVGEM project inputs" xfId="1507" xr:uid="{25DFB024-A6C3-4054-A61A-EBDF1C445D96}"/>
    <cellStyle name="_Table_Sinochem DCF version 15_Project Sunflower v25_pelican" xfId="1508" xr:uid="{48287F2F-92E1-4CFB-83C9-C8D9826CC1DD}"/>
    <cellStyle name="_Table_Sinochem DCF version 15_Project Sunflower v25_Pelican - Profit Forecast 3Aug07" xfId="1509" xr:uid="{98E59F33-5E7D-4008-B52C-386169EFA7BB}"/>
    <cellStyle name="_Table_Sinochem DCF version 15_Project Sunflower v25_Pelican - Profit Forecast template 11July07_chi" xfId="1510" xr:uid="{935D92C7-32B7-4A98-BE1B-DCB132E14A30}"/>
    <cellStyle name="_Table_Sinochem DCF version 15_Project Sunflower v25_Pelican - Profit Forecast template 29July07" xfId="1511" xr:uid="{E4C1CD92-81A5-4A41-BCB5-A88ED23A9F2D}"/>
    <cellStyle name="_Table_Sinochem DCF version 15_Project Sunflower v25_Pelican - Profit Forecast template 30July07" xfId="1512" xr:uid="{912872A0-6734-488C-A500-ABFBD37F7EAC}"/>
    <cellStyle name="_Table_Sinochem DCF version 15_Project Sunflower v25_pelican.xls" xfId="1513" xr:uid="{D92E4998-361B-43B4-A2AD-FFC86B209146}"/>
    <cellStyle name="_Table_test_PF_Rightway Model_v6_2" xfId="1514" xr:uid="{A939DB62-54CF-447B-937C-85B17507AD6C}"/>
    <cellStyle name="_Table_test_PF_Rightway Model_v6_2_LVGEM project inputs" xfId="1515" xr:uid="{8115CB71-E9B5-4A5D-9A3B-870682C485EF}"/>
    <cellStyle name="_Table_test_PF_Rightway Model_v6_2_pelican" xfId="1516" xr:uid="{415A5520-6E15-43D2-8CB5-E2A3D0FE7F71}"/>
    <cellStyle name="_Table_test_PF_Rightway Model_v6_2_Pelican - Profit Forecast 3Aug07" xfId="1517" xr:uid="{65C78CE4-B186-4ABE-8BB0-155EE2E27E23}"/>
    <cellStyle name="_Table_test_PF_Rightway Model_v6_2_Pelican - Profit Forecast template 11July07_chi" xfId="1518" xr:uid="{7EFBC4E1-C43C-40FE-92B5-93FF147B5BBB}"/>
    <cellStyle name="_Table_test_PF_Rightway Model_v6_2_Pelican - Profit Forecast template 29July07" xfId="1519" xr:uid="{1DEBB9B1-FB20-4094-8AF9-35815317BDF3}"/>
    <cellStyle name="_Table_test_PF_Rightway Model_v6_2_Pelican - Profit Forecast template 30July07" xfId="1520" xr:uid="{D1AD0F61-4F82-4D95-8BE4-272B3B6B5B4F}"/>
    <cellStyle name="_Table_test_PF_Rightway Model_v6_2_pelican.xls" xfId="1521" xr:uid="{F05008B5-F2D1-4F7E-A42B-2F613DF82A14}"/>
    <cellStyle name="_Table_WACC_template" xfId="1522" xr:uid="{F6A7B943-FBA5-41A7-B64D-788F86692BB5}"/>
    <cellStyle name="_Table_WACC_template_LVGEM project inputs" xfId="1523" xr:uid="{837AFEAC-E0F7-4B0C-A335-5FAE7781EF8E}"/>
    <cellStyle name="_Table_WACC_template_pelican" xfId="1524" xr:uid="{AB00088B-438F-48E5-93A8-6D512A366FE8}"/>
    <cellStyle name="_Table_WACC_template_Pelican - Profit Forecast 3Aug07" xfId="1525" xr:uid="{43F94498-41A0-417E-8DCC-975DBE49D8B4}"/>
    <cellStyle name="_Table_WACC_template_Pelican - Profit Forecast template 11July07_chi" xfId="1526" xr:uid="{2F3E2F11-E7C9-4BCD-A9D2-39FF793429A3}"/>
    <cellStyle name="_Table_WACC_template_Pelican - Profit Forecast template 29July07" xfId="1527" xr:uid="{0CB9DFB2-3A42-4370-9975-06D2786F27C5}"/>
    <cellStyle name="_Table_WACC_template_Pelican - Profit Forecast template 30July07" xfId="1528" xr:uid="{413A7C67-E1C3-4245-B68F-15D730984B48}"/>
    <cellStyle name="_Table_WACC_template_pelican.xls" xfId="1529" xr:uid="{8FE13CE3-5F6D-43F1-8353-4B8B36D21346}"/>
    <cellStyle name="_Table_WACC_template_Project Sunflower v24" xfId="1530" xr:uid="{15BB0F49-D656-40FD-915A-4EB06BB29724}"/>
    <cellStyle name="_Table_WACC_template_Project Sunflower v24_LVGEM project inputs" xfId="1531" xr:uid="{8180A86F-CEB4-404E-AF52-A19A44B28C4B}"/>
    <cellStyle name="_Table_WACC_template_Project Sunflower v24_pelican" xfId="1532" xr:uid="{8F1EA52C-A23A-4DB0-AFCF-578F9A205D11}"/>
    <cellStyle name="_Table_WACC_template_Project Sunflower v24_Pelican - Profit Forecast 3Aug07" xfId="1533" xr:uid="{097256A6-8469-42A3-ACE3-9512AC5D1C82}"/>
    <cellStyle name="_Table_WACC_template_Project Sunflower v24_Pelican - Profit Forecast template 11July07_chi" xfId="1534" xr:uid="{343CB57D-D683-47BB-B4D3-CCE6B97C5736}"/>
    <cellStyle name="_Table_WACC_template_Project Sunflower v24_Pelican - Profit Forecast template 29July07" xfId="1535" xr:uid="{A01F755E-53AA-4B26-B377-9F8F0CB9FA1B}"/>
    <cellStyle name="_Table_WACC_template_Project Sunflower v24_Pelican - Profit Forecast template 30July07" xfId="1536" xr:uid="{5EF8EB74-9E64-486D-9AE9-5D9AE881B38B}"/>
    <cellStyle name="_Table_WACC_template_Project Sunflower v24_pelican.xls" xfId="1537" xr:uid="{1ADC7646-7A42-4E9F-BA0D-7964ECB71439}"/>
    <cellStyle name="_Table_WACC_template_Project Sunflower v25" xfId="1538" xr:uid="{F94CC9F7-82F1-4CA7-B37F-B6BF3ADF8C02}"/>
    <cellStyle name="_Table_WACC_template_Project Sunflower v25_LVGEM project inputs" xfId="1539" xr:uid="{71422EB6-4B7F-4D6A-AFA2-4F0F1A15B81E}"/>
    <cellStyle name="_Table_WACC_template_Project Sunflower v25_pelican" xfId="1540" xr:uid="{7AE52127-92D2-45EC-91E9-647185A0B3C2}"/>
    <cellStyle name="_Table_WACC_template_Project Sunflower v25_Pelican - Profit Forecast 3Aug07" xfId="1541" xr:uid="{458275BC-5C71-437A-B0CB-240855FF9BEC}"/>
    <cellStyle name="_Table_WACC_template_Project Sunflower v25_Pelican - Profit Forecast template 11July07_chi" xfId="1542" xr:uid="{B166EBDE-C67C-45EF-9D7A-D9AFB192D98A}"/>
    <cellStyle name="_Table_WACC_template_Project Sunflower v25_Pelican - Profit Forecast template 29July07" xfId="1543" xr:uid="{5DCE538E-69DB-4F32-8996-C34278EDE2FB}"/>
    <cellStyle name="_Table_WACC_template_Project Sunflower v25_Pelican - Profit Forecast template 30July07" xfId="1544" xr:uid="{58E69A66-E07C-4A8D-A8D2-42A7F8C5DD5E}"/>
    <cellStyle name="_Table_WACC_template_Project Sunflower v25_pelican.xls" xfId="1545" xr:uid="{F83CBD72-70DF-4C6A-8DFB-8576A56E7811}"/>
    <cellStyle name="_TableHead" xfId="1546" xr:uid="{A0786ADA-0747-42DB-96E3-4671661A8E33}"/>
    <cellStyle name="_TableHead_060224_Pearlshell_DCF_Prelim" xfId="1547" xr:uid="{0FC61736-9CA2-4B2E-8973-1CC71EC4D0C2}"/>
    <cellStyle name="_TableHead_060224_Pearlshell_DCF_Prelim_LVGEM project inputs" xfId="1548" xr:uid="{8B17A3CD-7A2C-4AB1-AD67-05E73158BB47}"/>
    <cellStyle name="_TableHead_060224_Pearlshell_DCF_Prelim_pelican" xfId="1549" xr:uid="{33E07B12-DB69-4B55-894A-096FDA0A75D4}"/>
    <cellStyle name="_TableHead_060224_Pearlshell_DCF_Prelim_Pelican - Profit Forecast 3Aug07" xfId="1550" xr:uid="{ED34ED2A-FFB7-48EF-B34E-EFDE62F06F53}"/>
    <cellStyle name="_TableHead_060224_Pearlshell_DCF_Prelim_Pelican - Profit Forecast template 11July07_chi" xfId="1551" xr:uid="{C12CC8E5-3E83-4FEA-8E02-B56936DB8BBA}"/>
    <cellStyle name="_TableHead_060224_Pearlshell_DCF_Prelim_Pelican - Profit Forecast template 29July07" xfId="1552" xr:uid="{BA06DD7E-FA24-4A5C-8A39-D0E7F1EB0671}"/>
    <cellStyle name="_TableHead_060224_Pearlshell_DCF_Prelim_Pelican - Profit Forecast template 30July07" xfId="1553" xr:uid="{E3AAD9B4-11C4-4A1D-A382-E9295CC9B8A8}"/>
    <cellStyle name="_TableHead_060224_Pearlshell_DCF_Prelim_pelican.xls" xfId="1554" xr:uid="{8D0E7F03-E83B-445C-92EC-DD6B0BF2517B}"/>
    <cellStyle name="_TableHead_060225_Pearlshell_DCF_Prelim_V4" xfId="1555" xr:uid="{46907CC6-2DA2-47BB-9294-556A51D62C65}"/>
    <cellStyle name="_TableHead_060225_Pearlshell_DCF_Prelim_V4_LVGEM project inputs" xfId="1556" xr:uid="{4D7ED7C0-6B5A-4DF6-B131-0A943F612D80}"/>
    <cellStyle name="_TableHead_060225_Pearlshell_DCF_Prelim_V4_pelican" xfId="1557" xr:uid="{0702EA0A-8227-459F-81A0-89BFFBDFC1FA}"/>
    <cellStyle name="_TableHead_060225_Pearlshell_DCF_Prelim_V4_Pelican - Profit Forecast 3Aug07" xfId="1558" xr:uid="{2118DBBC-2FAA-4668-9665-59208A8920E6}"/>
    <cellStyle name="_TableHead_060225_Pearlshell_DCF_Prelim_V4_Pelican - Profit Forecast template 11July07_chi" xfId="1559" xr:uid="{3688FA30-A07D-4E89-A272-9A2A932E2AAF}"/>
    <cellStyle name="_TableHead_060225_Pearlshell_DCF_Prelim_V4_Pelican - Profit Forecast template 29July07" xfId="1560" xr:uid="{613B3C2A-81A1-4151-9AB1-94E2FFEA018A}"/>
    <cellStyle name="_TableHead_060225_Pearlshell_DCF_Prelim_V4_Pelican - Profit Forecast template 30July07" xfId="1561" xr:uid="{913D7188-1BEA-402E-B0FB-4432773405DA}"/>
    <cellStyle name="_TableHead_060225_Pearlshell_DCF_Prelim_V4_pelican.xls" xfId="1562" xr:uid="{65DF0018-C2E5-4CA7-A5F7-8FDC7A25CFCF}"/>
    <cellStyle name="_TableHead_060225_Pearlshell_DCF_Prelim_V4_Project Sunflower v24" xfId="1563" xr:uid="{33F2C102-23B0-4764-B7BD-4826D088E5A4}"/>
    <cellStyle name="_TableHead_060225_Pearlshell_DCF_Prelim_V4_Project Sunflower v24_LVGEM project inputs" xfId="1564" xr:uid="{2F599ACF-D31C-49BD-B866-55E89C73D650}"/>
    <cellStyle name="_TableHead_060225_Pearlshell_DCF_Prelim_V4_Project Sunflower v24_pelican" xfId="1565" xr:uid="{F5C94FCA-9FCB-4203-98A4-EBA48238CF38}"/>
    <cellStyle name="_TableHead_060225_Pearlshell_DCF_Prelim_V4_Project Sunflower v24_Pelican - Profit Forecast 3Aug07" xfId="1566" xr:uid="{45E0F994-2F84-44C3-BB79-9DDE8E4C4880}"/>
    <cellStyle name="_TableHead_060225_Pearlshell_DCF_Prelim_V4_Project Sunflower v24_Pelican - Profit Forecast template 11July07_chi" xfId="1567" xr:uid="{7B6C21CA-6DC4-421B-BE67-F7C1A8477C82}"/>
    <cellStyle name="_TableHead_060225_Pearlshell_DCF_Prelim_V4_Project Sunflower v24_Pelican - Profit Forecast template 29July07" xfId="1568" xr:uid="{1D028A08-B5DD-40CF-BB81-C7281059B4C9}"/>
    <cellStyle name="_TableHead_060225_Pearlshell_DCF_Prelim_V4_Project Sunflower v24_Pelican - Profit Forecast template 30July07" xfId="1569" xr:uid="{E17C6C5C-A85D-42E8-AD85-956916FF8120}"/>
    <cellStyle name="_TableHead_060225_Pearlshell_DCF_Prelim_V4_Project Sunflower v24_pelican.xls" xfId="1570" xr:uid="{1C44816F-281D-4FD4-A896-0E3E5B9652EF}"/>
    <cellStyle name="_TableHead_060225_Pearlshell_DCF_Prelim_V4_Project Sunflower v25" xfId="1571" xr:uid="{41B03773-C146-44AA-8305-C28ADB96E8E9}"/>
    <cellStyle name="_TableHead_060225_Pearlshell_DCF_Prelim_V4_Project Sunflower v25_LVGEM project inputs" xfId="1572" xr:uid="{A4FFA90A-42C2-4D48-B9F0-BC96C00B803C}"/>
    <cellStyle name="_TableHead_060225_Pearlshell_DCF_Prelim_V4_Project Sunflower v25_pelican" xfId="1573" xr:uid="{121D695E-772B-4987-92D6-74BDF38696CD}"/>
    <cellStyle name="_TableHead_060225_Pearlshell_DCF_Prelim_V4_Project Sunflower v25_Pelican - Profit Forecast 3Aug07" xfId="1574" xr:uid="{2354DE0C-0ACE-4D9B-A7C6-692C29EDA819}"/>
    <cellStyle name="_TableHead_060225_Pearlshell_DCF_Prelim_V4_Project Sunflower v25_Pelican - Profit Forecast template 11July07_chi" xfId="1575" xr:uid="{CBF21EBA-CBE0-4D97-A9DF-AC6CA4C24E7E}"/>
    <cellStyle name="_TableHead_060225_Pearlshell_DCF_Prelim_V4_Project Sunflower v25_Pelican - Profit Forecast template 29July07" xfId="1576" xr:uid="{F009B5EF-ECC5-4B23-9CEA-769811861523}"/>
    <cellStyle name="_TableHead_060225_Pearlshell_DCF_Prelim_V4_Project Sunflower v25_Pelican - Profit Forecast template 30July07" xfId="1577" xr:uid="{DB69C827-C0EF-49D9-9984-D685738C502D}"/>
    <cellStyle name="_TableHead_060225_Pearlshell_DCF_Prelim_V4_Project Sunflower v25_pelican.xls" xfId="1578" xr:uid="{6F926CBE-4B70-42C7-B211-628514ABB0B7}"/>
    <cellStyle name="_TableHead_070201_Blog_Model v12" xfId="1579" xr:uid="{0DC84DD7-C67C-4460-8296-F4E4D9554DCF}"/>
    <cellStyle name="_TableHead_070201_Blog_Model v12_LVGEM project inputs" xfId="1580" xr:uid="{42BCC24F-1B66-4726-81D5-BAEB8BFD7284}"/>
    <cellStyle name="_TableHead_070201_Blog_Model v12_pelican" xfId="1581" xr:uid="{12015FDB-6898-4687-ADB9-97AFAAB3374C}"/>
    <cellStyle name="_TableHead_070201_Blog_Model v12_Pelican - Profit Forecast 3Aug07" xfId="1582" xr:uid="{A6FD359E-B0B8-4807-9CFA-DCBF2516F309}"/>
    <cellStyle name="_TableHead_070201_Blog_Model v12_Pelican - Profit Forecast template 11July07_chi" xfId="1583" xr:uid="{7865D90B-0167-487D-9ED8-82A383FE098C}"/>
    <cellStyle name="_TableHead_070201_Blog_Model v12_Pelican - Profit Forecast template 29July07" xfId="1584" xr:uid="{D72D4C50-BB4C-4D68-8F94-E7B1F2180AB3}"/>
    <cellStyle name="_TableHead_070201_Blog_Model v12_Pelican - Profit Forecast template 30July07" xfId="1585" xr:uid="{4B6F5CD3-763D-4004-83BA-47EE08CFAC69}"/>
    <cellStyle name="_TableHead_070201_Blog_Model v12_pelican.xls" xfId="1586" xr:uid="{BB768041-7B49-4B39-AABF-128C3E51EC5D}"/>
    <cellStyle name="_TableHead_11_26  Project Homerun Model v4_NAV" xfId="1587" xr:uid="{B299F5BE-09D9-41BE-A434-64624FD81FC9}"/>
    <cellStyle name="_TableHead_11_26  Project Homerun Model v4_NAV_LVGEM project inputs" xfId="1588" xr:uid="{B3922DCC-D309-4EFE-9A5A-8E810666E4FA}"/>
    <cellStyle name="_TableHead_11_26  Project Homerun Model v4_NAV_pelican" xfId="1589" xr:uid="{0DCA8940-6528-42B5-BCA1-F3CA278FE9D3}"/>
    <cellStyle name="_TableHead_11_26  Project Homerun Model v4_NAV_Pelican - Profit Forecast 3Aug07" xfId="1590" xr:uid="{5A7E0A85-D029-4E72-9089-75294E7A2788}"/>
    <cellStyle name="_TableHead_11_26  Project Homerun Model v4_NAV_Pelican - Profit Forecast template 11July07_chi" xfId="1591" xr:uid="{E9DE527D-2433-43BB-9EAC-70D2B165DF96}"/>
    <cellStyle name="_TableHead_11_26  Project Homerun Model v4_NAV_Pelican - Profit Forecast template 29July07" xfId="1592" xr:uid="{EBF0F55D-780A-4F4C-91FD-BE4A0A6B2BC5}"/>
    <cellStyle name="_TableHead_11_26  Project Homerun Model v4_NAV_Pelican - Profit Forecast template 30July07" xfId="1593" xr:uid="{D7A439FD-ACBE-4558-A507-D524B398B77E}"/>
    <cellStyle name="_TableHead_11_26  Project Homerun Model v4_NAV_pelican.xls" xfId="1594" xr:uid="{111C587E-895B-4864-AB75-92DB31DE2AA7}"/>
    <cellStyle name="_TableHead_beta" xfId="1595" xr:uid="{6D8C5DBA-8AEE-4FD5-B757-4AB1DD96453D}"/>
    <cellStyle name="_TableHead_beta_LVGEM project inputs" xfId="1596" xr:uid="{13108C5D-A9DF-41B3-B202-C6F34AAA8D30}"/>
    <cellStyle name="_TableHead_beta_pelican" xfId="1597" xr:uid="{656EEFF0-DFC9-4EC3-B0C7-7FE8C6CF1C26}"/>
    <cellStyle name="_TableHead_beta_Pelican - Profit Forecast 3Aug07" xfId="1598" xr:uid="{26481579-36C8-4E91-9FE0-D7A5C176D663}"/>
    <cellStyle name="_TableHead_beta_Pelican - Profit Forecast template 11July07_chi" xfId="1599" xr:uid="{0A3811B4-9923-4C5B-9721-6966B1B79CA2}"/>
    <cellStyle name="_TableHead_beta_Pelican - Profit Forecast template 29July07" xfId="1600" xr:uid="{CBB36709-BDA6-4F01-96DA-7F7860B824A5}"/>
    <cellStyle name="_TableHead_beta_Pelican - Profit Forecast template 30July07" xfId="1601" xr:uid="{4537D8C4-E4F3-428A-8BEB-8001EED395B4}"/>
    <cellStyle name="_TableHead_beta_pelican.xls" xfId="1602" xr:uid="{CBE87F0E-B30B-436F-8F89-DA8BAA9A0CEC}"/>
    <cellStyle name="_TableHead_beta_Project Sunflower v24" xfId="1603" xr:uid="{DE0DC1A3-7B98-45CF-A17C-AC00CB03D7D2}"/>
    <cellStyle name="_TableHead_beta_Project Sunflower v24_LVGEM project inputs" xfId="1604" xr:uid="{191EA379-DDD0-449B-A143-99D245A946CB}"/>
    <cellStyle name="_TableHead_beta_Project Sunflower v24_pelican" xfId="1605" xr:uid="{F50A86C5-CF30-4F9E-83AE-36DFC844D139}"/>
    <cellStyle name="_TableHead_beta_Project Sunflower v24_Pelican - Profit Forecast 3Aug07" xfId="1606" xr:uid="{3FC4BB1A-E658-49BC-BF3F-858A27EDCC98}"/>
    <cellStyle name="_TableHead_beta_Project Sunflower v24_Pelican - Profit Forecast template 11July07_chi" xfId="1607" xr:uid="{91D0D52D-BFCB-40BB-B253-0507427E0CEB}"/>
    <cellStyle name="_TableHead_beta_Project Sunflower v24_Pelican - Profit Forecast template 29July07" xfId="1608" xr:uid="{F30F0B89-36A0-46B0-AE5B-77A893C6212A}"/>
    <cellStyle name="_TableHead_beta_Project Sunflower v24_Pelican - Profit Forecast template 30July07" xfId="1609" xr:uid="{BE92368B-0831-486C-93B6-8169E3C794E4}"/>
    <cellStyle name="_TableHead_beta_Project Sunflower v24_pelican.xls" xfId="1610" xr:uid="{4DCCD18D-38DB-420C-AC11-1CC704BB3667}"/>
    <cellStyle name="_TableHead_beta_Project Sunflower v25" xfId="1611" xr:uid="{DDF682EF-6A03-460E-A219-57EDAD86088B}"/>
    <cellStyle name="_TableHead_beta_Project Sunflower v25_LVGEM project inputs" xfId="1612" xr:uid="{89E4DB2D-5DAC-4B40-BDE0-D9A14553A30C}"/>
    <cellStyle name="_TableHead_beta_Project Sunflower v25_pelican" xfId="1613" xr:uid="{730C241A-E5F7-438D-8B93-087F2A4B8927}"/>
    <cellStyle name="_TableHead_beta_Project Sunflower v25_Pelican - Profit Forecast 3Aug07" xfId="1614" xr:uid="{8C3251B1-2DD2-4EC7-906E-BD2FABC51996}"/>
    <cellStyle name="_TableHead_beta_Project Sunflower v25_Pelican - Profit Forecast template 11July07_chi" xfId="1615" xr:uid="{8CBC5269-EC26-4C53-9E46-0E9E4F7EDE16}"/>
    <cellStyle name="_TableHead_beta_Project Sunflower v25_Pelican - Profit Forecast template 29July07" xfId="1616" xr:uid="{6939D74F-1C23-468C-AFB9-4423D71563E4}"/>
    <cellStyle name="_TableHead_beta_Project Sunflower v25_Pelican - Profit Forecast template 30July07" xfId="1617" xr:uid="{61984E70-A67B-430F-99B5-BF2505F01C55}"/>
    <cellStyle name="_TableHead_beta_Project Sunflower v25_pelican.xls" xfId="1618" xr:uid="{6B36FB4A-B9E6-4144-958F-121ADDE46FA4}"/>
    <cellStyle name="_TableHead_Consolidated Statement of Changes in Equity" xfId="1619" xr:uid="{5CE53CDE-C945-4060-AE21-1E6330641F08}"/>
    <cellStyle name="_TableHead_Consolidated Statement of Changes in Equity (2)" xfId="1620" xr:uid="{9B51D59A-30AE-4CD8-A084-2F65A2030E69}"/>
    <cellStyle name="_TableHead_Consolidated Statement of Changes in Equity (2)_LVGEM project inputs" xfId="1621" xr:uid="{9E089E33-458C-4C19-96A8-6C527E4D14F5}"/>
    <cellStyle name="_TableHead_Consolidated Statement of Changes in Equity (2)_pelican" xfId="1622" xr:uid="{91ECEA37-EF58-4BCB-90F3-A77769F142A6}"/>
    <cellStyle name="_TableHead_Consolidated Statement of Changes in Equity (2)_Pelican - Profit Forecast 3Aug07" xfId="1623" xr:uid="{306988D1-2C8E-4D37-AE79-73826A59E6A2}"/>
    <cellStyle name="_TableHead_Consolidated Statement of Changes in Equity (2)_Pelican - Profit Forecast template 11July07_chi" xfId="1624" xr:uid="{A5AFEA41-7320-4172-AF0D-C97ABB766A1A}"/>
    <cellStyle name="_TableHead_Consolidated Statement of Changes in Equity (2)_Pelican - Profit Forecast template 29July07" xfId="1625" xr:uid="{296463AE-DF0B-41A6-9F26-B9D1ECDBB3D6}"/>
    <cellStyle name="_TableHead_Consolidated Statement of Changes in Equity (2)_Pelican - Profit Forecast template 30July07" xfId="1626" xr:uid="{C084EFD2-E917-441F-8387-D99C22EDEBAC}"/>
    <cellStyle name="_TableHead_Consolidated Statement of Changes in Equity (2)_pelican.xls" xfId="1627" xr:uid="{9353EE3B-3176-4DAF-9213-E6910C851315}"/>
    <cellStyle name="_TableHead_Consolidated Statement of Changes in Equity_LVGEM project inputs" xfId="1628" xr:uid="{E5A56090-249A-499F-BC85-E6B9761A832C}"/>
    <cellStyle name="_TableHead_Consolidated Statement of Changes in Equity_pelican" xfId="1629" xr:uid="{0C8F3C66-19FA-4ED2-B37F-356B42EA56C2}"/>
    <cellStyle name="_TableHead_Consolidated Statement of Changes in Equity_Pelican - Profit Forecast 3Aug07" xfId="1630" xr:uid="{431292D5-2E8B-41B1-B3A6-B8DA9704DBA6}"/>
    <cellStyle name="_TableHead_Consolidated Statement of Changes in Equity_Pelican - Profit Forecast template 11July07_chi" xfId="1631" xr:uid="{709795DB-2B21-4D8D-A621-49B74CC1D516}"/>
    <cellStyle name="_TableHead_Consolidated Statement of Changes in Equity_Pelican - Profit Forecast template 29July07" xfId="1632" xr:uid="{3526A417-4756-4BDE-A36F-FFC7398679DC}"/>
    <cellStyle name="_TableHead_Consolidated Statement of Changes in Equity_Pelican - Profit Forecast template 30July07" xfId="1633" xr:uid="{640C4767-C236-47EC-BE17-5343AB632153}"/>
    <cellStyle name="_TableHead_Consolidated Statement of Changes in Equity_pelican.xls" xfId="1634" xr:uid="{68E3767F-B15F-4863-9704-36B853C97420}"/>
    <cellStyle name="_TableHead_dcf" xfId="1635" xr:uid="{641520BD-8284-4172-9D21-397DB3C10784}"/>
    <cellStyle name="_TableHead_DCF Model_v7" xfId="1636" xr:uid="{E1EF1E94-1622-4A73-B9D2-21F8C4CA57E9}"/>
    <cellStyle name="_TableHead_DCF Model_v7_LVGEM project inputs" xfId="1637" xr:uid="{0868A07C-4404-49F6-BA66-974E5C766494}"/>
    <cellStyle name="_TableHead_DCF Model_v7_pelican" xfId="1638" xr:uid="{5096D781-32E1-4A7D-9E18-614A659AB0FF}"/>
    <cellStyle name="_TableHead_DCF Model_v7_Pelican - Profit Forecast 3Aug07" xfId="1639" xr:uid="{1B5FC8A6-BA6B-4255-BC5A-D7CB26FAD403}"/>
    <cellStyle name="_TableHead_DCF Model_v7_Pelican - Profit Forecast template 11July07_chi" xfId="1640" xr:uid="{1BF5741F-2609-43A8-82E3-086038EE0824}"/>
    <cellStyle name="_TableHead_DCF Model_v7_Pelican - Profit Forecast template 29July07" xfId="1641" xr:uid="{3AB50EF9-7FDF-41F1-8F56-37A8C60C9423}"/>
    <cellStyle name="_TableHead_DCF Model_v7_Pelican - Profit Forecast template 30July07" xfId="1642" xr:uid="{F4E75970-239E-428B-AD8D-8C48D79788C1}"/>
    <cellStyle name="_TableHead_DCF Model_v7_pelican.xls" xfId="1643" xr:uid="{F7473554-6493-4794-BC43-1EA706ED109A}"/>
    <cellStyle name="_TableHead_DCF Model_v7_Project Sunflower v24" xfId="1644" xr:uid="{7C1B6C13-CBD0-4BFF-A628-71CFBB809F97}"/>
    <cellStyle name="_TableHead_DCF Model_v7_Project Sunflower v24_LVGEM project inputs" xfId="1645" xr:uid="{380E024F-2B38-4036-88A6-D67E5090BBA9}"/>
    <cellStyle name="_TableHead_DCF Model_v7_Project Sunflower v24_pelican" xfId="1646" xr:uid="{79211D70-FCC0-480C-87DD-571A25315A6D}"/>
    <cellStyle name="_TableHead_DCF Model_v7_Project Sunflower v24_Pelican - Profit Forecast 3Aug07" xfId="1647" xr:uid="{9DC08C6E-64F6-4A0A-A9E8-7952A2F46431}"/>
    <cellStyle name="_TableHead_DCF Model_v7_Project Sunflower v24_Pelican - Profit Forecast template 11July07_chi" xfId="1648" xr:uid="{34B3547C-E1EF-4BFD-AD28-B7CF7994D0EF}"/>
    <cellStyle name="_TableHead_DCF Model_v7_Project Sunflower v24_Pelican - Profit Forecast template 29July07" xfId="1649" xr:uid="{762172E5-EE54-49A5-B5BB-4A9ABF0BCF42}"/>
    <cellStyle name="_TableHead_DCF Model_v7_Project Sunflower v24_Pelican - Profit Forecast template 30July07" xfId="1650" xr:uid="{2BD764C8-2237-47EA-81DB-E03480C6D834}"/>
    <cellStyle name="_TableHead_DCF Model_v7_Project Sunflower v24_pelican.xls" xfId="1651" xr:uid="{281E0E65-AC82-4C4E-8C66-19A2EC81ACE6}"/>
    <cellStyle name="_TableHead_DCF Model_v7_Project Sunflower v25" xfId="1652" xr:uid="{8F239311-A15F-491F-BE6B-3C91438E0E1D}"/>
    <cellStyle name="_TableHead_DCF Model_v7_Project Sunflower v25_LVGEM project inputs" xfId="1653" xr:uid="{4F1E4B53-D387-4443-BD06-9D4F0270BF31}"/>
    <cellStyle name="_TableHead_DCF Model_v7_Project Sunflower v25_pelican" xfId="1654" xr:uid="{520D162A-08AF-44AD-97F1-375455F90C0D}"/>
    <cellStyle name="_TableHead_DCF Model_v7_Project Sunflower v25_Pelican - Profit Forecast 3Aug07" xfId="1655" xr:uid="{87FD7033-FA6C-4733-86A1-C7DFD12EF1E1}"/>
    <cellStyle name="_TableHead_DCF Model_v7_Project Sunflower v25_Pelican - Profit Forecast template 11July07_chi" xfId="1656" xr:uid="{B98D0970-2841-4720-9725-E4F76B05C4E8}"/>
    <cellStyle name="_TableHead_DCF Model_v7_Project Sunflower v25_Pelican - Profit Forecast template 29July07" xfId="1657" xr:uid="{32FDE5C2-C8F1-4C7B-B7F7-1EC7B06683EC}"/>
    <cellStyle name="_TableHead_DCF Model_v7_Project Sunflower v25_Pelican - Profit Forecast template 30July07" xfId="1658" xr:uid="{33056649-9205-4D30-A70F-96D6640C5B4B}"/>
    <cellStyle name="_TableHead_DCF Model_v7_Project Sunflower v25_pelican.xls" xfId="1659" xr:uid="{65A8B239-EED9-4B18-9FF6-7A9358ECB510}"/>
    <cellStyle name="_TableHead_DCF_050422" xfId="1660" xr:uid="{6D106CFA-163F-4450-8673-FFD7CC691032}"/>
    <cellStyle name="_TableHead_DCF_050422_LVGEM project inputs" xfId="1661" xr:uid="{F1644576-9D77-4EF4-8613-19826D742D7C}"/>
    <cellStyle name="_TableHead_DCF_050422_pelican" xfId="1662" xr:uid="{9C3D519D-282E-4B2A-8C67-4FD8C6FE15A8}"/>
    <cellStyle name="_TableHead_DCF_050422_Pelican - Profit Forecast 3Aug07" xfId="1663" xr:uid="{F3F33AFB-9FCF-42EF-920B-044BCE884D8E}"/>
    <cellStyle name="_TableHead_DCF_050422_Pelican - Profit Forecast template 11July07_chi" xfId="1664" xr:uid="{DB63C92A-70BF-4F0B-8179-49774086075F}"/>
    <cellStyle name="_TableHead_DCF_050422_Pelican - Profit Forecast template 29July07" xfId="1665" xr:uid="{D6DD217D-9CA9-4A28-94FC-AE660C8ABF1A}"/>
    <cellStyle name="_TableHead_DCF_050422_Pelican - Profit Forecast template 30July07" xfId="1666" xr:uid="{F42E60D1-226C-4886-BE6A-9F7571DAE9DE}"/>
    <cellStyle name="_TableHead_DCF_050422_pelican.xls" xfId="1667" xr:uid="{F4E42B09-9DC5-4445-8E18-FD47D67CE682}"/>
    <cellStyle name="_TableHead_DCF_050422_Project Sunflower v24" xfId="1668" xr:uid="{EC805FA8-9DBC-4A9D-991A-931A204EEC28}"/>
    <cellStyle name="_TableHead_DCF_050422_Project Sunflower v24_LVGEM project inputs" xfId="1669" xr:uid="{68349E72-7DC7-499B-A197-1FC6CAB07B34}"/>
    <cellStyle name="_TableHead_DCF_050422_Project Sunflower v24_pelican" xfId="1670" xr:uid="{7DF35A2D-39CB-4B45-BBC3-4368120B87FD}"/>
    <cellStyle name="_TableHead_DCF_050422_Project Sunflower v24_Pelican - Profit Forecast 3Aug07" xfId="1671" xr:uid="{8454D10E-71E3-4DA4-A176-31C5ADC02AC2}"/>
    <cellStyle name="_TableHead_DCF_050422_Project Sunflower v24_Pelican - Profit Forecast template 11July07_chi" xfId="1672" xr:uid="{1EE3501C-94A8-4D90-BFCD-55273729B36B}"/>
    <cellStyle name="_TableHead_DCF_050422_Project Sunflower v24_Pelican - Profit Forecast template 29July07" xfId="1673" xr:uid="{10F208C2-276F-404C-ACBC-852D980FFD0E}"/>
    <cellStyle name="_TableHead_DCF_050422_Project Sunflower v24_Pelican - Profit Forecast template 30July07" xfId="1674" xr:uid="{ED1D94BB-CE60-4D5F-AF88-7322B4DB3F64}"/>
    <cellStyle name="_TableHead_DCF_050422_Project Sunflower v24_pelican.xls" xfId="1675" xr:uid="{94825D3C-0A10-44E3-8ADF-230A072366CF}"/>
    <cellStyle name="_TableHead_DCF_050422_Project Sunflower v25" xfId="1676" xr:uid="{915AAEBE-F69F-4B60-ACD1-5D2F00230BB1}"/>
    <cellStyle name="_TableHead_DCF_050422_Project Sunflower v25_LVGEM project inputs" xfId="1677" xr:uid="{5369AA3F-9A85-46A9-8860-58F712B685D7}"/>
    <cellStyle name="_TableHead_DCF_050422_Project Sunflower v25_pelican" xfId="1678" xr:uid="{3DDE4C0E-69B9-499D-9772-871B5787FCF8}"/>
    <cellStyle name="_TableHead_DCF_050422_Project Sunflower v25_Pelican - Profit Forecast 3Aug07" xfId="1679" xr:uid="{611B66B0-FEF7-47D2-8C0F-B56FC22457F1}"/>
    <cellStyle name="_TableHead_DCF_050422_Project Sunflower v25_Pelican - Profit Forecast template 11July07_chi" xfId="1680" xr:uid="{6BAF4313-4DC7-4ECF-BA56-245EDA83FF7D}"/>
    <cellStyle name="_TableHead_DCF_050422_Project Sunflower v25_Pelican - Profit Forecast template 29July07" xfId="1681" xr:uid="{D080819E-8ADB-49A8-864C-716BBC63F524}"/>
    <cellStyle name="_TableHead_DCF_050422_Project Sunflower v25_Pelican - Profit Forecast template 30July07" xfId="1682" xr:uid="{ED8F8336-FD8A-418D-B9AD-3F55698BE6BC}"/>
    <cellStyle name="_TableHead_DCF_050422_Project Sunflower v25_pelican.xls" xfId="1683" xr:uid="{A35AB881-08AF-4A16-B6D0-D121B2D495E7}"/>
    <cellStyle name="_TableHead_dcf_LVGEM project inputs" xfId="1684" xr:uid="{EAC5F0F8-8208-4876-927B-3570AC2704D6}"/>
    <cellStyle name="_TableHead_dcf_pelican" xfId="1685" xr:uid="{711CC1C6-1670-4D8A-B6AE-2546F2A00392}"/>
    <cellStyle name="_TableHead_dcf_Pelican - Profit Forecast 3Aug07" xfId="1686" xr:uid="{EADFE74B-A6EC-4C26-BD7F-E02C01CD4102}"/>
    <cellStyle name="_TableHead_dcf_Pelican - Profit Forecast template 11July07_chi" xfId="1687" xr:uid="{7CB88BE1-B6A7-4BCA-8144-605DB35FEAB0}"/>
    <cellStyle name="_TableHead_dcf_Pelican - Profit Forecast template 29July07" xfId="1688" xr:uid="{6835C66E-963F-4886-BC7E-0AEA80B1AE7D}"/>
    <cellStyle name="_TableHead_dcf_Pelican - Profit Forecast template 30July07" xfId="1689" xr:uid="{8F610E43-3D60-4631-91A3-4EEF69178AEB}"/>
    <cellStyle name="_TableHead_dcf_pelican.xls" xfId="1690" xr:uid="{12ECCCDC-31B6-4392-ACB2-EF7099F4B44F}"/>
    <cellStyle name="_TableHead_dcf_Project Sunflower v24" xfId="1691" xr:uid="{8F64F4A1-D5E5-4AED-9279-56729FF29274}"/>
    <cellStyle name="_TableHead_dcf_Project Sunflower v24_LVGEM project inputs" xfId="1692" xr:uid="{95AF732B-3C2D-4FA6-BC1D-342C59DF2B91}"/>
    <cellStyle name="_TableHead_dcf_Project Sunflower v24_pelican" xfId="1693" xr:uid="{FBD66ED7-216F-4D5F-A8DC-E24025E80812}"/>
    <cellStyle name="_TableHead_dcf_Project Sunflower v24_Pelican - Profit Forecast 3Aug07" xfId="1694" xr:uid="{A9941798-C2C8-49EC-8F89-31AF71E165AC}"/>
    <cellStyle name="_TableHead_dcf_Project Sunflower v24_Pelican - Profit Forecast template 11July07_chi" xfId="1695" xr:uid="{6A881605-B25D-4FFE-A26C-AE67CEBC03AC}"/>
    <cellStyle name="_TableHead_dcf_Project Sunflower v24_Pelican - Profit Forecast template 29July07" xfId="1696" xr:uid="{366BA0E9-A86C-4F85-A58C-CFD21132DEB4}"/>
    <cellStyle name="_TableHead_dcf_Project Sunflower v24_Pelican - Profit Forecast template 30July07" xfId="1697" xr:uid="{902341FE-849D-4E75-8135-DED8E51F9C95}"/>
    <cellStyle name="_TableHead_dcf_Project Sunflower v24_pelican.xls" xfId="1698" xr:uid="{3DB26C29-F073-43C5-A795-75A777352A86}"/>
    <cellStyle name="_TableHead_dcf_Project Sunflower v25" xfId="1699" xr:uid="{938603D6-34B7-4AFA-8D8B-FD42BD41FB2B}"/>
    <cellStyle name="_TableHead_dcf_Project Sunflower v25_LVGEM project inputs" xfId="1700" xr:uid="{4CB338FE-AC34-4BEB-9211-CAAD9F430CE0}"/>
    <cellStyle name="_TableHead_dcf_Project Sunflower v25_pelican" xfId="1701" xr:uid="{F0C5CEFF-5336-4097-B9A8-C672E28ABB5F}"/>
    <cellStyle name="_TableHead_dcf_Project Sunflower v25_Pelican - Profit Forecast 3Aug07" xfId="1702" xr:uid="{55413156-5788-4D8B-A39A-382F7F699F09}"/>
    <cellStyle name="_TableHead_dcf_Project Sunflower v25_Pelican - Profit Forecast template 11July07_chi" xfId="1703" xr:uid="{CA11C5E1-EDAF-4BD1-AF23-03A8E3FC89E1}"/>
    <cellStyle name="_TableHead_dcf_Project Sunflower v25_Pelican - Profit Forecast template 29July07" xfId="1704" xr:uid="{4A75E134-39E1-4810-B1A2-A4BC01B814B4}"/>
    <cellStyle name="_TableHead_dcf_Project Sunflower v25_Pelican - Profit Forecast template 30July07" xfId="1705" xr:uid="{56352BF8-71B0-450D-9054-C8D819396DB1}"/>
    <cellStyle name="_TableHead_dcf_Project Sunflower v25_pelican.xls" xfId="1706" xr:uid="{487E8088-FB72-464C-B502-1DCE0474E2C7}"/>
    <cellStyle name="_TableHead_Financial Model_v13" xfId="1707" xr:uid="{AC350B79-E238-4E41-A2C2-628D1EEEE04C}"/>
    <cellStyle name="_TableHead_Financial Model_v13_LVGEM project inputs" xfId="1708" xr:uid="{97732454-CB60-4C9E-8D4F-F5537B0BC777}"/>
    <cellStyle name="_TableHead_Financial Model_v13_pelican" xfId="1709" xr:uid="{096E0ECC-B88F-45F8-8DC8-969A1A750B40}"/>
    <cellStyle name="_TableHead_Financial Model_v13_Pelican - Profit Forecast 3Aug07" xfId="1710" xr:uid="{F3BFCC32-8C65-4237-8FF6-74B6A5F997DD}"/>
    <cellStyle name="_TableHead_Financial Model_v13_Pelican - Profit Forecast template 11July07_chi" xfId="1711" xr:uid="{44CFF24D-3AC4-43CF-8F8F-5A4A4A29C923}"/>
    <cellStyle name="_TableHead_Financial Model_v13_Pelican - Profit Forecast template 29July07" xfId="1712" xr:uid="{5D9C58CC-5AA5-4E55-8D88-90B84403E971}"/>
    <cellStyle name="_TableHead_Financial Model_v13_Pelican - Profit Forecast template 30July07" xfId="1713" xr:uid="{4B8D894B-50ED-4A65-B138-140C296CB1BF}"/>
    <cellStyle name="_TableHead_Financial Model_v13_pelican.xls" xfId="1714" xr:uid="{69D5D9D7-F543-421F-ACC2-29DAD6036981}"/>
    <cellStyle name="_TableHead_fund model 5" xfId="1715" xr:uid="{662FB637-5C9F-4DEA-B187-2DE135C587EE}"/>
    <cellStyle name="_TableHead_fund model 5_LVGEM project inputs" xfId="1716" xr:uid="{0E9F4EED-ACC8-4C18-B63A-B7FFC3DD9166}"/>
    <cellStyle name="_TableHead_fund model 5_pelican" xfId="1717" xr:uid="{FB5641B5-2355-47E5-9352-B3F29B82F98D}"/>
    <cellStyle name="_TableHead_fund model 5_Pelican - Profit Forecast 3Aug07" xfId="1718" xr:uid="{64D88D70-6D21-4DA0-BD5A-3C9C21BB3130}"/>
    <cellStyle name="_TableHead_fund model 5_Pelican - Profit Forecast template 11July07_chi" xfId="1719" xr:uid="{197C4380-A6FD-46EF-9F67-47CC580F91D7}"/>
    <cellStyle name="_TableHead_fund model 5_Pelican - Profit Forecast template 29July07" xfId="1720" xr:uid="{7F412645-565A-4ECC-9E5A-1D9388B8C6A2}"/>
    <cellStyle name="_TableHead_fund model 5_Pelican - Profit Forecast template 30July07" xfId="1721" xr:uid="{7216D6CE-78D1-485C-B2AB-3F8F83659BBF}"/>
    <cellStyle name="_TableHead_fund model 5_pelican.xls" xfId="1722" xr:uid="{D68BBC2F-D2D9-4C7E-9B16-A4324AC84152}"/>
    <cellStyle name="_TableHead_Mindray Medical Intl Ltd Consolidated" xfId="1723" xr:uid="{064FC462-DBD6-4863-93E2-8A16C84F8A53}"/>
    <cellStyle name="_TableHead_Mindray Medical Intl Ltd Consolidated_LVGEM project inputs" xfId="1724" xr:uid="{64C53B1D-21E0-4D28-82AE-F467A09C4658}"/>
    <cellStyle name="_TableHead_Mindray Medical Intl Ltd Consolidated_pelican" xfId="1725" xr:uid="{B5D45B63-CE48-4FAD-9F6D-4F891A1807B7}"/>
    <cellStyle name="_TableHead_Mindray Medical Intl Ltd Consolidated_Pelican - Profit Forecast 3Aug07" xfId="1726" xr:uid="{B2893557-56E9-471E-B4B6-8526C66B8505}"/>
    <cellStyle name="_TableHead_Mindray Medical Intl Ltd Consolidated_Pelican - Profit Forecast template 11July07_chi" xfId="1727" xr:uid="{4AB37552-986A-440D-834B-DD6590501CD2}"/>
    <cellStyle name="_TableHead_Mindray Medical Intl Ltd Consolidated_Pelican - Profit Forecast template 29July07" xfId="1728" xr:uid="{54629B26-2362-49A3-82C0-55BE7AFDB700}"/>
    <cellStyle name="_TableHead_Mindray Medical Intl Ltd Consolidated_Pelican - Profit Forecast template 30July07" xfId="1729" xr:uid="{C3CF2B77-F74B-4C60-B22E-90D1978D94D4}"/>
    <cellStyle name="_TableHead_Mindray Medical Intl Ltd Consolidated_pelican.xls" xfId="1730" xr:uid="{909BB819-262E-4DF3-9E87-864E23089F16}"/>
    <cellStyle name="_TableHead_Page no-115" xfId="1731" xr:uid="{E0DD3494-8141-40EF-907E-EC6DD3549BAD}"/>
    <cellStyle name="_TableHead_Page no-115_LVGEM project inputs" xfId="1732" xr:uid="{2B0A5705-A790-41F3-AF10-5D60153C0FA0}"/>
    <cellStyle name="_TableHead_Page no-115_pelican" xfId="1733" xr:uid="{74C0D2CB-73F7-44FB-BF0B-1F5AE7425C69}"/>
    <cellStyle name="_TableHead_Page no-115_Pelican - Profit Forecast 3Aug07" xfId="1734" xr:uid="{471B0B53-1C49-452F-8EE3-FA636FD2EB86}"/>
    <cellStyle name="_TableHead_Page no-115_Pelican - Profit Forecast template 11July07_chi" xfId="1735" xr:uid="{5E50A8A0-43B9-44DB-8517-66C57922439D}"/>
    <cellStyle name="_TableHead_Page no-115_Pelican - Profit Forecast template 29July07" xfId="1736" xr:uid="{866366A6-17B8-4E7E-9BB4-E71E55D01AA9}"/>
    <cellStyle name="_TableHead_Page no-115_Pelican - Profit Forecast template 30July07" xfId="1737" xr:uid="{0FA9FAA5-143E-4A3D-BA78-5A484AB073A3}"/>
    <cellStyle name="_TableHead_Page no-115_pelican.xls" xfId="1738" xr:uid="{58D531E8-5510-4E6C-A6D2-28224140A235}"/>
    <cellStyle name="_TableHead_Project Sunflower v26_CommCommFinal_(print)" xfId="1739" xr:uid="{CEDB1382-2312-4A52-9B64-BB4D5D9816F0}"/>
    <cellStyle name="_TableHead_Project Sunflower v26_CommCommFinal_(print)_LVGEM project inputs" xfId="1740" xr:uid="{E3E5DC0B-507B-4809-AAFB-FC7AE910AFF3}"/>
    <cellStyle name="_TableHead_Project Sunflower v26_CommCommFinal_(print)_pelican" xfId="1741" xr:uid="{EE8A5106-84C7-4566-A48C-1C3F856CEB10}"/>
    <cellStyle name="_TableHead_Project Sunflower v26_CommCommFinal_(print)_Pelican - Profit Forecast 3Aug07" xfId="1742" xr:uid="{C4D8ECA3-648C-4362-B655-EE808EFADC08}"/>
    <cellStyle name="_TableHead_Project Sunflower v26_CommCommFinal_(print)_Pelican - Profit Forecast template 11July07_chi" xfId="1743" xr:uid="{A2BE23E3-507F-44C3-A1A2-C8EB4E4E248A}"/>
    <cellStyle name="_TableHead_Project Sunflower v26_CommCommFinal_(print)_Pelican - Profit Forecast template 29July07" xfId="1744" xr:uid="{FDAC42AC-948B-479C-88D9-5CFBD92A4E2E}"/>
    <cellStyle name="_TableHead_Project Sunflower v26_CommCommFinal_(print)_Pelican - Profit Forecast template 30July07" xfId="1745" xr:uid="{5496E30C-5454-4DE5-A655-FF601FACF243}"/>
    <cellStyle name="_TableHead_Project Sunflower v26_CommCommFinal_(print)_pelican.xls" xfId="1746" xr:uid="{4BDB341E-F462-44F7-A253-A1D81F92252F}"/>
    <cellStyle name="_TableHead_Shanghai DCF 13_JV 70%_New B shares_playing 2" xfId="1747" xr:uid="{B11F7276-51E7-4CE2-A86E-70FD6D2F7BB1}"/>
    <cellStyle name="_TableHead_Shanghai DCF 13_JV 70%_New B shares_playing 2_LVGEM project inputs" xfId="1748" xr:uid="{F05BDA56-4FCA-4F7D-819D-D3E744B856BE}"/>
    <cellStyle name="_TableHead_Shanghai DCF 13_JV 70%_New B shares_playing 2_pelican" xfId="1749" xr:uid="{2A1A6A02-CB1E-4491-8309-7FDEC1FA3BD8}"/>
    <cellStyle name="_TableHead_Shanghai DCF 13_JV 70%_New B shares_playing 2_Pelican - Profit Forecast 3Aug07" xfId="1750" xr:uid="{7A202F49-96B7-4FCC-A427-4482814DB0E5}"/>
    <cellStyle name="_TableHead_Shanghai DCF 13_JV 70%_New B shares_playing 2_Pelican - Profit Forecast template 11July07_chi" xfId="1751" xr:uid="{564E24EC-CECD-4A1C-863B-CD21443EC941}"/>
    <cellStyle name="_TableHead_Shanghai DCF 13_JV 70%_New B shares_playing 2_Pelican - Profit Forecast template 29July07" xfId="1752" xr:uid="{29C5B927-E4F7-4943-82F9-32F4C3052088}"/>
    <cellStyle name="_TableHead_Shanghai DCF 13_JV 70%_New B shares_playing 2_Pelican - Profit Forecast template 30July07" xfId="1753" xr:uid="{23F1BFAD-96F5-4E5C-BF33-BD0603BE0045}"/>
    <cellStyle name="_TableHead_Shanghai DCF 13_JV 70%_New B shares_playing 2_pelican.xls" xfId="1754" xr:uid="{83956ED9-01E5-4F50-96FA-C32478F4F697}"/>
    <cellStyle name="_TableHead_Shanghai DCF 13_JV 70%_New B shares_playing 2_Project Sunflower v24" xfId="1755" xr:uid="{2D50C6D4-9F7C-4DB8-8399-8D58CF0A7509}"/>
    <cellStyle name="_TableHead_Shanghai DCF 13_JV 70%_New B shares_playing 2_Project Sunflower v24_LVGEM project inputs" xfId="1756" xr:uid="{C97DE66B-C9FB-491E-8391-689839081086}"/>
    <cellStyle name="_TableHead_Shanghai DCF 13_JV 70%_New B shares_playing 2_Project Sunflower v24_pelican" xfId="1757" xr:uid="{793D6193-6058-4E93-A483-62EF204AEA44}"/>
    <cellStyle name="_TableHead_Shanghai DCF 13_JV 70%_New B shares_playing 2_Project Sunflower v24_Pelican - Profit Forecast 3Aug07" xfId="1758" xr:uid="{0D28039F-F05C-47FE-AD74-0785FA08FBCF}"/>
    <cellStyle name="_TableHead_Shanghai DCF 13_JV 70%_New B shares_playing 2_Project Sunflower v24_Pelican - Profit Forecast template 11July07_chi" xfId="1759" xr:uid="{A69AE703-ACB6-4193-BAE2-554AADA8A447}"/>
    <cellStyle name="_TableHead_Shanghai DCF 13_JV 70%_New B shares_playing 2_Project Sunflower v24_Pelican - Profit Forecast template 29July07" xfId="1760" xr:uid="{0F04B6FD-DD13-48A4-8765-811B0C6E32A8}"/>
    <cellStyle name="_TableHead_Shanghai DCF 13_JV 70%_New B shares_playing 2_Project Sunflower v24_Pelican - Profit Forecast template 30July07" xfId="1761" xr:uid="{DDD42D10-F0C1-456F-80D9-819874D9C86B}"/>
    <cellStyle name="_TableHead_Shanghai DCF 13_JV 70%_New B shares_playing 2_Project Sunflower v24_pelican.xls" xfId="1762" xr:uid="{BCFFDC12-19E4-4A10-AEDA-CA2CFADDF8C9}"/>
    <cellStyle name="_TableHead_Shanghai DCF 13_JV 70%_New B shares_playing 2_Project Sunflower v25" xfId="1763" xr:uid="{DCC5FF42-CFDE-4F9C-8E59-36FE376F92B3}"/>
    <cellStyle name="_TableHead_Shanghai DCF 13_JV 70%_New B shares_playing 2_Project Sunflower v25_LVGEM project inputs" xfId="1764" xr:uid="{2D9EF567-2FC1-4169-8D8D-192978E7DB55}"/>
    <cellStyle name="_TableHead_Shanghai DCF 13_JV 70%_New B shares_playing 2_Project Sunflower v25_pelican" xfId="1765" xr:uid="{37619591-E775-432C-9CD5-FE82755CF16B}"/>
    <cellStyle name="_TableHead_Shanghai DCF 13_JV 70%_New B shares_playing 2_Project Sunflower v25_Pelican - Profit Forecast 3Aug07" xfId="1766" xr:uid="{38C7293F-A005-4FAC-9DDE-82858F0F909F}"/>
    <cellStyle name="_TableHead_Shanghai DCF 13_JV 70%_New B shares_playing 2_Project Sunflower v25_Pelican - Profit Forecast template 11July07_chi" xfId="1767" xr:uid="{699A811F-EF6D-45E5-8AA2-89AFB464601C}"/>
    <cellStyle name="_TableHead_Shanghai DCF 13_JV 70%_New B shares_playing 2_Project Sunflower v25_Pelican - Profit Forecast template 29July07" xfId="1768" xr:uid="{1154F1AD-06B5-457D-9B10-C16E68DE09EA}"/>
    <cellStyle name="_TableHead_Shanghai DCF 13_JV 70%_New B shares_playing 2_Project Sunflower v25_Pelican - Profit Forecast template 30July07" xfId="1769" xr:uid="{C3FD1F76-24BD-49A7-9B4B-D2382545FC80}"/>
    <cellStyle name="_TableHead_Shanghai DCF 13_JV 70%_New B shares_playing 2_Project Sunflower v25_pelican.xls" xfId="1770" xr:uid="{3F952F82-7440-4DC5-B877-E2C4876EBAC3}"/>
    <cellStyle name="_TableHead_Shimao Valuation Model_v49_BH_Comm Comm_v5" xfId="1771" xr:uid="{7DB2A86E-EB5D-4C9A-8DDA-354C118469CF}"/>
    <cellStyle name="_TableHead_Shimao Valuation Model_v49_BH_Comm Comm_v5_LVGEM project inputs" xfId="1772" xr:uid="{AFF4E23F-2420-4347-A4B0-0E7A5D9C6052}"/>
    <cellStyle name="_TableHead_Shimao Valuation Model_v49_BH_Comm Comm_v5_pelican" xfId="1773" xr:uid="{9D535E55-EC2C-4F9A-A3D7-82DC1D490E49}"/>
    <cellStyle name="_TableHead_Shimao Valuation Model_v49_BH_Comm Comm_v5_Pelican - Profit Forecast 3Aug07" xfId="1774" xr:uid="{9355832C-72EE-4D9C-8A5B-79023910DF9E}"/>
    <cellStyle name="_TableHead_Shimao Valuation Model_v49_BH_Comm Comm_v5_Pelican - Profit Forecast template 11July07_chi" xfId="1775" xr:uid="{E66C1E70-BCC7-4F50-A8F2-6361F81E268B}"/>
    <cellStyle name="_TableHead_Shimao Valuation Model_v49_BH_Comm Comm_v5_Pelican - Profit Forecast template 29July07" xfId="1776" xr:uid="{E0CF00B3-F65F-4EFE-96D8-5AB685AFF103}"/>
    <cellStyle name="_TableHead_Shimao Valuation Model_v49_BH_Comm Comm_v5_Pelican - Profit Forecast template 30July07" xfId="1777" xr:uid="{CEDCA9D3-E1C9-4DDC-A894-BD97A442C586}"/>
    <cellStyle name="_TableHead_Shimao Valuation Model_v49_BH_Comm Comm_v5_pelican.xls" xfId="1778" xr:uid="{6182104B-B0D5-40CC-B377-B673F880065D}"/>
    <cellStyle name="_TableHead_Sinochem DCF version 15" xfId="1779" xr:uid="{F9383454-9F63-44F6-851C-28BD48CAADD6}"/>
    <cellStyle name="_TableHead_Sinochem DCF version 15_LVGEM project inputs" xfId="1780" xr:uid="{F0D4F7B7-5932-4A71-886E-61B95B66F05E}"/>
    <cellStyle name="_TableHead_Sinochem DCF version 15_pelican" xfId="1781" xr:uid="{1C810308-E6E0-4261-8A93-B7B16E246306}"/>
    <cellStyle name="_TableHead_Sinochem DCF version 15_Pelican - Profit Forecast 3Aug07" xfId="1782" xr:uid="{B3479BEA-8D25-44D7-A5BA-2404ACBD2F87}"/>
    <cellStyle name="_TableHead_Sinochem DCF version 15_Pelican - Profit Forecast template 11July07_chi" xfId="1783" xr:uid="{C2FC65D2-CD5C-4E93-A0AE-F1C02C92528C}"/>
    <cellStyle name="_TableHead_Sinochem DCF version 15_Pelican - Profit Forecast template 29July07" xfId="1784" xr:uid="{3E098E1A-A81E-4970-883A-5D960BAD8264}"/>
    <cellStyle name="_TableHead_Sinochem DCF version 15_Pelican - Profit Forecast template 30July07" xfId="1785" xr:uid="{2919D105-212A-443F-920F-A81AF5CE4864}"/>
    <cellStyle name="_TableHead_Sinochem DCF version 15_pelican.xls" xfId="1786" xr:uid="{D91EB1BD-13BE-4C2B-A695-9DB326DDA330}"/>
    <cellStyle name="_TableHead_Sinochem DCF version 15_Project Sunflower v24" xfId="1787" xr:uid="{1B5879BA-8E5A-482C-A871-44E0F40AFD05}"/>
    <cellStyle name="_TableHead_Sinochem DCF version 15_Project Sunflower v24_LVGEM project inputs" xfId="1788" xr:uid="{EFD80692-1E04-40F5-9A2F-39509493B08F}"/>
    <cellStyle name="_TableHead_Sinochem DCF version 15_Project Sunflower v24_pelican" xfId="1789" xr:uid="{F49B99E8-C4EC-4D17-9281-A6D750E11F6E}"/>
    <cellStyle name="_TableHead_Sinochem DCF version 15_Project Sunflower v24_Pelican - Profit Forecast 3Aug07" xfId="1790" xr:uid="{6C05212B-7750-45B8-95C4-15627EC93CE4}"/>
    <cellStyle name="_TableHead_Sinochem DCF version 15_Project Sunflower v24_Pelican - Profit Forecast template 11July07_chi" xfId="1791" xr:uid="{67CC0067-C69C-4D39-B6CC-361C08790E37}"/>
    <cellStyle name="_TableHead_Sinochem DCF version 15_Project Sunflower v24_Pelican - Profit Forecast template 29July07" xfId="1792" xr:uid="{00463300-1E8C-46B1-808F-484DD05C2685}"/>
    <cellStyle name="_TableHead_Sinochem DCF version 15_Project Sunflower v24_Pelican - Profit Forecast template 30July07" xfId="1793" xr:uid="{95BE5A04-4B80-4BBF-BD4D-CE22118A61F4}"/>
    <cellStyle name="_TableHead_Sinochem DCF version 15_Project Sunflower v24_pelican.xls" xfId="1794" xr:uid="{4467A858-42A0-47FD-A3F9-6F9658564FBA}"/>
    <cellStyle name="_TableHead_Sinochem DCF version 15_Project Sunflower v25" xfId="1795" xr:uid="{1D3645FF-78B5-4AC1-B312-8541E50D1559}"/>
    <cellStyle name="_TableHead_Sinochem DCF version 15_Project Sunflower v25_LVGEM project inputs" xfId="1796" xr:uid="{333A5F9D-1BC7-4C1A-A475-37D3C1A40557}"/>
    <cellStyle name="_TableHead_Sinochem DCF version 15_Project Sunflower v25_pelican" xfId="1797" xr:uid="{65CEAC6B-5901-4FA5-8AFD-70DDA631A8DF}"/>
    <cellStyle name="_TableHead_Sinochem DCF version 15_Project Sunflower v25_Pelican - Profit Forecast 3Aug07" xfId="1798" xr:uid="{DCEB8AD4-F9A4-428F-9CCA-7C40E4A5500D}"/>
    <cellStyle name="_TableHead_Sinochem DCF version 15_Project Sunflower v25_Pelican - Profit Forecast template 11July07_chi" xfId="1799" xr:uid="{1950CB33-9655-4089-A40E-66BFD7C0A8EF}"/>
    <cellStyle name="_TableHead_Sinochem DCF version 15_Project Sunflower v25_Pelican - Profit Forecast template 29July07" xfId="1800" xr:uid="{E2D58D55-CA93-41E1-9E90-E08C9F37D579}"/>
    <cellStyle name="_TableHead_Sinochem DCF version 15_Project Sunflower v25_Pelican - Profit Forecast template 30July07" xfId="1801" xr:uid="{39CB49A2-662C-4728-A3DE-65A5823553B9}"/>
    <cellStyle name="_TableHead_Sinochem DCF version 15_Project Sunflower v25_pelican.xls" xfId="1802" xr:uid="{6B931FC6-A08D-40BF-8D1B-8E5E629F4FA1}"/>
    <cellStyle name="_TableHead_test_PF_Rightway Model_v6_2" xfId="1803" xr:uid="{C4901897-B5B6-4E9E-AC31-E9B1B476702E}"/>
    <cellStyle name="_TableHead_test_PF_Rightway Model_v6_2_LVGEM project inputs" xfId="1804" xr:uid="{41C55E52-FE9B-41FB-B7B9-F1D05F93CAD7}"/>
    <cellStyle name="_TableHead_test_PF_Rightway Model_v6_2_pelican" xfId="1805" xr:uid="{578514EC-C3D1-4974-97DC-BC8134910609}"/>
    <cellStyle name="_TableHead_test_PF_Rightway Model_v6_2_Pelican - Profit Forecast 3Aug07" xfId="1806" xr:uid="{1A4B5ACA-8A42-4C8C-9886-C6E71BEAD553}"/>
    <cellStyle name="_TableHead_test_PF_Rightway Model_v6_2_Pelican - Profit Forecast template 11July07_chi" xfId="1807" xr:uid="{C2F74A38-5F90-4D49-8867-279BB577FC07}"/>
    <cellStyle name="_TableHead_test_PF_Rightway Model_v6_2_Pelican - Profit Forecast template 29July07" xfId="1808" xr:uid="{74FDB094-ED22-483E-8077-012ED9FBCCD8}"/>
    <cellStyle name="_TableHead_test_PF_Rightway Model_v6_2_Pelican - Profit Forecast template 30July07" xfId="1809" xr:uid="{18F2467B-97FA-43BC-9A96-D9F0408A6700}"/>
    <cellStyle name="_TableHead_test_PF_Rightway Model_v6_2_pelican.xls" xfId="1810" xr:uid="{D6EFF8E7-C507-465A-9677-EBBEA41C7DD7}"/>
    <cellStyle name="_TableHead_Transaction-based Valuation of Lynx" xfId="1811" xr:uid="{15A784A2-196F-40EB-AFF4-DA50A4AB0A4C}"/>
    <cellStyle name="_TableHead_Transaction-based Valuation of Lynx_LVGEM project inputs" xfId="1812" xr:uid="{2AD6959E-33E4-44DE-BE9B-2611211BE460}"/>
    <cellStyle name="_TableHead_Transaction-based Valuation of Lynx_pelican" xfId="1813" xr:uid="{2589F470-B8B2-4C3A-B7B7-077CA9DA574A}"/>
    <cellStyle name="_TableHead_Transaction-based Valuation of Lynx_Pelican - Profit Forecast 3Aug07" xfId="1814" xr:uid="{2CF29760-89E7-4FCD-9180-67202A1C5493}"/>
    <cellStyle name="_TableHead_Transaction-based Valuation of Lynx_Pelican - Profit Forecast template 11July07_chi" xfId="1815" xr:uid="{E6F63E88-4049-47C7-85EE-63D8F57AC5BE}"/>
    <cellStyle name="_TableHead_Transaction-based Valuation of Lynx_Pelican - Profit Forecast template 29July07" xfId="1816" xr:uid="{ABB4796B-87B9-45FF-8ED3-FF0003DB4313}"/>
    <cellStyle name="_TableHead_Transaction-based Valuation of Lynx_Pelican - Profit Forecast template 30July07" xfId="1817" xr:uid="{EE17E21D-8F3B-4B00-9E63-0CA802CFAA0F}"/>
    <cellStyle name="_TableHead_Transaction-based Valuation of Lynx_pelican.xls" xfId="1818" xr:uid="{D8B5D1C7-0146-4416-8673-59CA9E17BE23}"/>
    <cellStyle name="_TableHead_WACC_template" xfId="1819" xr:uid="{A9776B3E-EDB9-4E0F-A791-4700463D1BF8}"/>
    <cellStyle name="_TableHead_WACC_template_LVGEM project inputs" xfId="1820" xr:uid="{88A2AC50-CA2B-4901-B86A-08B615DDDDB5}"/>
    <cellStyle name="_TableHead_WACC_template_pelican" xfId="1821" xr:uid="{310A9360-8EFC-44DB-AFA5-B55E4100F482}"/>
    <cellStyle name="_TableHead_WACC_template_Pelican - Profit Forecast 3Aug07" xfId="1822" xr:uid="{755CF121-E6F4-4F50-9191-6A80368C54E2}"/>
    <cellStyle name="_TableHead_WACC_template_Pelican - Profit Forecast template 11July07_chi" xfId="1823" xr:uid="{CAB3F92A-3FC8-4D74-A01B-C050CC4D6E53}"/>
    <cellStyle name="_TableHead_WACC_template_Pelican - Profit Forecast template 29July07" xfId="1824" xr:uid="{B3EB5B70-7B3F-409E-A630-FFAE288427C8}"/>
    <cellStyle name="_TableHead_WACC_template_Pelican - Profit Forecast template 30July07" xfId="1825" xr:uid="{EB9D0624-1D71-45B7-B00B-98089497F92F}"/>
    <cellStyle name="_TableHead_WACC_template_pelican.xls" xfId="1826" xr:uid="{863C2B0F-9175-4809-A0C6-CF05C593C80D}"/>
    <cellStyle name="_TableHead_WACC_template_Project Sunflower v24" xfId="1827" xr:uid="{8AE04743-597D-430D-A393-4921E34CD5FF}"/>
    <cellStyle name="_TableHead_WACC_template_Project Sunflower v24_LVGEM project inputs" xfId="1828" xr:uid="{B70C27E5-24DB-4417-AE6C-BEBCE5CA1A1B}"/>
    <cellStyle name="_TableHead_WACC_template_Project Sunflower v24_pelican" xfId="1829" xr:uid="{31D6BEF9-F406-4D00-8B38-3E1B7C052085}"/>
    <cellStyle name="_TableHead_WACC_template_Project Sunflower v24_Pelican - Profit Forecast 3Aug07" xfId="1830" xr:uid="{019F95C7-927C-4597-B292-53454A8A5B33}"/>
    <cellStyle name="_TableHead_WACC_template_Project Sunflower v24_Pelican - Profit Forecast template 11July07_chi" xfId="1831" xr:uid="{F6C6202E-45DC-4D91-B15C-CD34451DE26E}"/>
    <cellStyle name="_TableHead_WACC_template_Project Sunflower v24_Pelican - Profit Forecast template 29July07" xfId="1832" xr:uid="{11F9064A-CAA8-4809-AFFD-86B1E79092A0}"/>
    <cellStyle name="_TableHead_WACC_template_Project Sunflower v24_Pelican - Profit Forecast template 30July07" xfId="1833" xr:uid="{AE136E80-BB6A-490D-90D7-1F59022CCB02}"/>
    <cellStyle name="_TableHead_WACC_template_Project Sunflower v24_pelican.xls" xfId="1834" xr:uid="{0CB3DD9F-3C96-453E-9264-81830BEC65C7}"/>
    <cellStyle name="_TableHead_WACC_template_Project Sunflower v25" xfId="1835" xr:uid="{E1DD0933-BAD8-49D7-8E1F-3D0D08932CC9}"/>
    <cellStyle name="_TableHead_WACC_template_Project Sunflower v25_LVGEM project inputs" xfId="1836" xr:uid="{964B1B16-348C-4A59-8FA2-091544B534C9}"/>
    <cellStyle name="_TableHead_WACC_template_Project Sunflower v25_pelican" xfId="1837" xr:uid="{B5EFB9C1-2C21-49D1-812C-B3B355EA41DE}"/>
    <cellStyle name="_TableHead_WACC_template_Project Sunflower v25_Pelican - Profit Forecast 3Aug07" xfId="1838" xr:uid="{AC1EFB43-FD80-48B5-852D-23FB170C78BC}"/>
    <cellStyle name="_TableHead_WACC_template_Project Sunflower v25_Pelican - Profit Forecast template 11July07_chi" xfId="1839" xr:uid="{EB536C45-2455-4C9A-9A29-8A40C30ACD42}"/>
    <cellStyle name="_TableHead_WACC_template_Project Sunflower v25_Pelican - Profit Forecast template 29July07" xfId="1840" xr:uid="{C8E1B5CC-43C4-495C-87E8-3C5C7ED9A600}"/>
    <cellStyle name="_TableHead_WACC_template_Project Sunflower v25_Pelican - Profit Forecast template 30July07" xfId="1841" xr:uid="{1C6DF0DC-C20F-4F9C-81D9-E1BF89CA09C8}"/>
    <cellStyle name="_TableHead_WACC_template_Project Sunflower v25_pelican.xls" xfId="1842" xr:uid="{24AD6C97-B3C7-4A7E-B730-10A854A8B7C9}"/>
    <cellStyle name="_TableHeading" xfId="1843" xr:uid="{780201B4-42F2-4D13-937B-98F0EA87F486}"/>
    <cellStyle name="_TableHeading_LVGEM project inputs" xfId="1844" xr:uid="{3A457446-697D-4894-95FE-CC819C135CA1}"/>
    <cellStyle name="_TableHeading_pelican" xfId="1845" xr:uid="{37FFE56C-63A4-40A3-862A-D9639090F852}"/>
    <cellStyle name="_TableHeading_Pelican - Profit Forecast 3Aug07" xfId="1846" xr:uid="{DC458A69-4DA1-454F-B3F4-2282BE814136}"/>
    <cellStyle name="_TableHeading_Pelican - Profit Forecast template 11July07_chi" xfId="1847" xr:uid="{88640E60-2C8B-40A5-AFD7-6AC782A2D71B}"/>
    <cellStyle name="_TableHeading_Pelican - Profit Forecast template 29July07" xfId="1848" xr:uid="{05665529-5C4E-46A2-AD44-96E6E3149063}"/>
    <cellStyle name="_TableHeading_Pelican - Profit Forecast template 30July07" xfId="1849" xr:uid="{ABDEC514-19E4-4540-B874-B72CE1F9A59F}"/>
    <cellStyle name="_TableHeading_pelican.xls" xfId="1850" xr:uid="{7C131752-989D-4851-AD18-EA624AF9C3E2}"/>
    <cellStyle name="_TableHeading_Project Sunflower v24" xfId="1851" xr:uid="{846D77DF-CC51-4668-BDDF-C365748BA756}"/>
    <cellStyle name="_TableHeading_Project Sunflower v24_LVGEM project inputs" xfId="1852" xr:uid="{0561B025-D1E2-4898-AA00-CC6032795A23}"/>
    <cellStyle name="_TableHeading_Project Sunflower v24_pelican" xfId="1853" xr:uid="{4915C2DB-B300-462F-AA4F-0A6DE5F2278F}"/>
    <cellStyle name="_TableHeading_Project Sunflower v24_Pelican - Profit Forecast 3Aug07" xfId="1854" xr:uid="{652030BD-411D-476C-8651-09120690DEF1}"/>
    <cellStyle name="_TableHeading_Project Sunflower v24_Pelican - Profit Forecast template 11July07_chi" xfId="1855" xr:uid="{352802CF-D2FE-4764-B5D6-E7F95659F945}"/>
    <cellStyle name="_TableHeading_Project Sunflower v24_Pelican - Profit Forecast template 29July07" xfId="1856" xr:uid="{633DB0C9-D169-4790-AF1C-FFA357F98FED}"/>
    <cellStyle name="_TableHeading_Project Sunflower v24_Pelican - Profit Forecast template 30July07" xfId="1857" xr:uid="{5F8E5EBF-458E-4375-AE6B-571D4392E7DA}"/>
    <cellStyle name="_TableHeading_Project Sunflower v24_pelican.xls" xfId="1858" xr:uid="{CC5873D1-5AC4-4995-820A-C2C7AC037987}"/>
    <cellStyle name="_TableHeading_Project Sunflower v25" xfId="1859" xr:uid="{3D1A734D-DBB5-4B87-B455-2742B1544F20}"/>
    <cellStyle name="_TableHeading_Project Sunflower v25_LVGEM project inputs" xfId="1860" xr:uid="{86405ED5-91D8-4E44-8DEC-C5D2B7DB2270}"/>
    <cellStyle name="_TableHeading_Project Sunflower v25_pelican" xfId="1861" xr:uid="{A1FC329E-8D27-4519-945A-54CBB35A2D2B}"/>
    <cellStyle name="_TableHeading_Project Sunflower v25_Pelican - Profit Forecast 3Aug07" xfId="1862" xr:uid="{E3337C0E-AD14-4C13-A2F3-55F626DB28C6}"/>
    <cellStyle name="_TableHeading_Project Sunflower v25_Pelican - Profit Forecast template 11July07_chi" xfId="1863" xr:uid="{C35540CD-5C70-410C-880B-C2A2DD336885}"/>
    <cellStyle name="_TableHeading_Project Sunflower v25_Pelican - Profit Forecast template 29July07" xfId="1864" xr:uid="{354C1B56-5732-4ECD-AA0D-22943895B007}"/>
    <cellStyle name="_TableHeading_Project Sunflower v25_Pelican - Profit Forecast template 30July07" xfId="1865" xr:uid="{09159F12-570F-4510-AA62-5560B76B9D0D}"/>
    <cellStyle name="_TableHeading_Project Sunflower v25_pelican.xls" xfId="1866" xr:uid="{0305F2A7-7907-421A-89CC-66F63B011F7F}"/>
    <cellStyle name="_TableRowBorder" xfId="1867" xr:uid="{C51AABEA-FD6A-42E9-B511-307354338A59}"/>
    <cellStyle name="_TableRowBorder 2" xfId="4298" xr:uid="{E39C3802-29B6-41EE-85CF-369532E311BC}"/>
    <cellStyle name="_TableRowHead" xfId="1868" xr:uid="{E9BB8162-109A-401A-8CB6-1AAD5DA93CAD}"/>
    <cellStyle name="_TableRowHead_060224_Pearlshell_DCF_Prelim" xfId="1869" xr:uid="{5B7A73A0-F700-446A-A51A-D7F3B715D0CD}"/>
    <cellStyle name="_TableRowHead_060224_Pearlshell_DCF_Prelim_LVGEM project inputs" xfId="1870" xr:uid="{D829BB6C-5365-4A86-90B9-72A61194A75A}"/>
    <cellStyle name="_TableRowHead_060224_Pearlshell_DCF_Prelim_pelican" xfId="1871" xr:uid="{F97AAFC3-AAF1-4F69-A273-50CEC422ECF9}"/>
    <cellStyle name="_TableRowHead_060224_Pearlshell_DCF_Prelim_Pelican - Profit Forecast 3Aug07" xfId="1872" xr:uid="{364AE431-8424-494E-B706-02117013F53E}"/>
    <cellStyle name="_TableRowHead_060224_Pearlshell_DCF_Prelim_Pelican - Profit Forecast template 11July07_chi" xfId="1873" xr:uid="{95B06628-EFA2-431C-BF86-4491BDA62C09}"/>
    <cellStyle name="_TableRowHead_060224_Pearlshell_DCF_Prelim_Pelican - Profit Forecast template 29July07" xfId="1874" xr:uid="{FDBCCC42-532B-414C-88C0-F5B5429E8999}"/>
    <cellStyle name="_TableRowHead_060224_Pearlshell_DCF_Prelim_Pelican - Profit Forecast template 30July07" xfId="1875" xr:uid="{F604A909-2181-4539-84C7-79243319A9AD}"/>
    <cellStyle name="_TableRowHead_060224_Pearlshell_DCF_Prelim_pelican.xls" xfId="1876" xr:uid="{4E7B834C-ACA9-44A7-8DF9-AB1DF82082FF}"/>
    <cellStyle name="_TableRowHead_060225_Pearlshell_DCF_Prelim_V4" xfId="1877" xr:uid="{366FC644-D689-4071-96C2-92169D74303B}"/>
    <cellStyle name="_TableRowHead_060225_Pearlshell_DCF_Prelim_V4_LVGEM project inputs" xfId="1878" xr:uid="{5E1EC084-851C-4F95-9C41-FD11D5428750}"/>
    <cellStyle name="_TableRowHead_060225_Pearlshell_DCF_Prelim_V4_pelican" xfId="1879" xr:uid="{FD4AE986-EEB3-4AEF-B5C4-D159E8CC435F}"/>
    <cellStyle name="_TableRowHead_060225_Pearlshell_DCF_Prelim_V4_Pelican - Profit Forecast 3Aug07" xfId="1880" xr:uid="{7BE154DE-4C68-4FA5-8AF5-0A506E966B67}"/>
    <cellStyle name="_TableRowHead_060225_Pearlshell_DCF_Prelim_V4_Pelican - Profit Forecast template 11July07_chi" xfId="1881" xr:uid="{F7186DAF-278C-44E0-AD87-8D0442E2266A}"/>
    <cellStyle name="_TableRowHead_060225_Pearlshell_DCF_Prelim_V4_Pelican - Profit Forecast template 29July07" xfId="1882" xr:uid="{3C71B13B-436B-4FB7-A8DA-0DFC2B721E49}"/>
    <cellStyle name="_TableRowHead_060225_Pearlshell_DCF_Prelim_V4_Pelican - Profit Forecast template 30July07" xfId="1883" xr:uid="{C597D528-E157-47E6-A590-45EA680CE888}"/>
    <cellStyle name="_TableRowHead_060225_Pearlshell_DCF_Prelim_V4_pelican.xls" xfId="1884" xr:uid="{CAC16524-6723-4A11-9AEE-9DF9272D26B6}"/>
    <cellStyle name="_TableRowHead_060225_Pearlshell_DCF_Prelim_V4_Project Sunflower v24" xfId="1885" xr:uid="{8B6D0E99-5406-4A68-A08D-3E6177773B47}"/>
    <cellStyle name="_TableRowHead_060225_Pearlshell_DCF_Prelim_V4_Project Sunflower v24_LVGEM project inputs" xfId="1886" xr:uid="{912BDDF3-885D-410D-B04C-F76508C7C046}"/>
    <cellStyle name="_TableRowHead_060225_Pearlshell_DCF_Prelim_V4_Project Sunflower v24_pelican" xfId="1887" xr:uid="{5F71A638-32A7-4BE8-86DA-2386B09E8C67}"/>
    <cellStyle name="_TableRowHead_060225_Pearlshell_DCF_Prelim_V4_Project Sunflower v24_Pelican - Profit Forecast 3Aug07" xfId="1888" xr:uid="{A4822F17-7012-4D9A-9A07-FE5C93B97D65}"/>
    <cellStyle name="_TableRowHead_060225_Pearlshell_DCF_Prelim_V4_Project Sunflower v24_Pelican - Profit Forecast template 11July07_chi" xfId="1889" xr:uid="{A83E8B7E-118B-4051-AA35-1F302DE7897E}"/>
    <cellStyle name="_TableRowHead_060225_Pearlshell_DCF_Prelim_V4_Project Sunflower v24_Pelican - Profit Forecast template 29July07" xfId="1890" xr:uid="{20DBB238-CF52-49A6-942A-2ACCEB6C3222}"/>
    <cellStyle name="_TableRowHead_060225_Pearlshell_DCF_Prelim_V4_Project Sunflower v24_Pelican - Profit Forecast template 30July07" xfId="1891" xr:uid="{40771E3D-A0E1-4F43-9A5E-45CBC1E7CCFC}"/>
    <cellStyle name="_TableRowHead_060225_Pearlshell_DCF_Prelim_V4_Project Sunflower v24_pelican.xls" xfId="1892" xr:uid="{6F36CBE1-CA3F-47E4-A087-0D8927DD2CE7}"/>
    <cellStyle name="_TableRowHead_060225_Pearlshell_DCF_Prelim_V4_Project Sunflower v25" xfId="1893" xr:uid="{15FB96BB-EE46-45E2-A263-4B7040BF161E}"/>
    <cellStyle name="_TableRowHead_060225_Pearlshell_DCF_Prelim_V4_Project Sunflower v25_LVGEM project inputs" xfId="1894" xr:uid="{633CC01F-3DEE-4E76-B4D3-7BE41A86685D}"/>
    <cellStyle name="_TableRowHead_060225_Pearlshell_DCF_Prelim_V4_Project Sunflower v25_pelican" xfId="1895" xr:uid="{6105343A-6A2D-4633-A066-639567688CEB}"/>
    <cellStyle name="_TableRowHead_060225_Pearlshell_DCF_Prelim_V4_Project Sunflower v25_Pelican - Profit Forecast 3Aug07" xfId="1896" xr:uid="{90EEBD43-FC85-4C55-8B7A-710B71B1F7E2}"/>
    <cellStyle name="_TableRowHead_060225_Pearlshell_DCF_Prelim_V4_Project Sunflower v25_Pelican - Profit Forecast template 11July07_chi" xfId="1897" xr:uid="{F4AEB41D-1FFC-4CF1-9EE4-6746D3F6CFF3}"/>
    <cellStyle name="_TableRowHead_060225_Pearlshell_DCF_Prelim_V4_Project Sunflower v25_Pelican - Profit Forecast template 29July07" xfId="1898" xr:uid="{B044DF9B-438C-40E4-B781-8AC48AFC418D}"/>
    <cellStyle name="_TableRowHead_060225_Pearlshell_DCF_Prelim_V4_Project Sunflower v25_Pelican - Profit Forecast template 30July07" xfId="1899" xr:uid="{6B33733F-9CE0-486D-8055-1F575EAA412C}"/>
    <cellStyle name="_TableRowHead_060225_Pearlshell_DCF_Prelim_V4_Project Sunflower v25_pelican.xls" xfId="1900" xr:uid="{7A296470-A681-49AD-95AF-AB1DB3AB481A}"/>
    <cellStyle name="_TableRowHead_070201_Blog_Model v12" xfId="1901" xr:uid="{A28823FE-4B15-4F2A-89D6-9F231E9EB0E0}"/>
    <cellStyle name="_TableRowHead_070201_Blog_Model v12_LVGEM project inputs" xfId="1902" xr:uid="{3CD85E11-EDA8-42BB-8AA7-8A549F4766CC}"/>
    <cellStyle name="_TableRowHead_070201_Blog_Model v12_pelican" xfId="1903" xr:uid="{55D62E7D-1987-4263-9AA4-B06667EBFC60}"/>
    <cellStyle name="_TableRowHead_070201_Blog_Model v12_Pelican - Profit Forecast 3Aug07" xfId="1904" xr:uid="{BBBF14FC-9B0C-4709-A2E6-628692EA528F}"/>
    <cellStyle name="_TableRowHead_070201_Blog_Model v12_Pelican - Profit Forecast template 11July07_chi" xfId="1905" xr:uid="{9872F522-8059-4960-83E0-F925D71E787C}"/>
    <cellStyle name="_TableRowHead_070201_Blog_Model v12_Pelican - Profit Forecast template 29July07" xfId="1906" xr:uid="{62DD9996-96F8-4BF4-844D-E937DB0A5842}"/>
    <cellStyle name="_TableRowHead_070201_Blog_Model v12_Pelican - Profit Forecast template 30July07" xfId="1907" xr:uid="{94222991-B54F-4B38-B93E-6EF708610ED0}"/>
    <cellStyle name="_TableRowHead_070201_Blog_Model v12_pelican.xls" xfId="1908" xr:uid="{0A82177A-3B42-44CE-BB7F-371D528DC648}"/>
    <cellStyle name="_TableRowHead_11_26  Project Homerun Model v4_NAV" xfId="1909" xr:uid="{35B74397-2AD5-4861-977F-6E3B77255184}"/>
    <cellStyle name="_TableRowHead_11_26  Project Homerun Model v4_NAV_LVGEM project inputs" xfId="1910" xr:uid="{2546B8A3-262C-46D8-9855-5726B580ACB6}"/>
    <cellStyle name="_TableRowHead_11_26  Project Homerun Model v4_NAV_pelican" xfId="1911" xr:uid="{8C7CAE72-1E46-45DD-B8E3-09AA325C1449}"/>
    <cellStyle name="_TableRowHead_11_26  Project Homerun Model v4_NAV_Pelican - Profit Forecast 3Aug07" xfId="1912" xr:uid="{580C607C-957A-4EC2-9135-61EAE6694898}"/>
    <cellStyle name="_TableRowHead_11_26  Project Homerun Model v4_NAV_Pelican - Profit Forecast template 11July07_chi" xfId="1913" xr:uid="{7D1731D0-7F45-4808-8CAC-37160B8F441E}"/>
    <cellStyle name="_TableRowHead_11_26  Project Homerun Model v4_NAV_Pelican - Profit Forecast template 29July07" xfId="1914" xr:uid="{D14953CE-133C-4652-B073-56EE92D42DAF}"/>
    <cellStyle name="_TableRowHead_11_26  Project Homerun Model v4_NAV_Pelican - Profit Forecast template 30July07" xfId="1915" xr:uid="{ECB040F0-1AFF-468B-AC1E-3AF1FA15A2C4}"/>
    <cellStyle name="_TableRowHead_11_26  Project Homerun Model v4_NAV_pelican.xls" xfId="1916" xr:uid="{E2966A5D-1525-495E-AEF6-7C8DFEB15D27}"/>
    <cellStyle name="_TableRowHead_beta" xfId="1917" xr:uid="{24CDA95F-981C-4E33-9864-8C8AA4D0E8CD}"/>
    <cellStyle name="_TableRowHead_beta_LVGEM project inputs" xfId="1918" xr:uid="{0448E26E-FE55-421A-A4D5-3299394009C0}"/>
    <cellStyle name="_TableRowHead_beta_pelican" xfId="1919" xr:uid="{0693865A-D849-42E5-B766-D33C2F44B170}"/>
    <cellStyle name="_TableRowHead_beta_Pelican - Profit Forecast 3Aug07" xfId="1920" xr:uid="{D0322866-5A76-4014-9C25-A618237C99B1}"/>
    <cellStyle name="_TableRowHead_beta_Pelican - Profit Forecast template 11July07_chi" xfId="1921" xr:uid="{7786FA8F-9073-4A7E-849E-BC5183747C8A}"/>
    <cellStyle name="_TableRowHead_beta_Pelican - Profit Forecast template 29July07" xfId="1922" xr:uid="{52F4F24C-6388-4E02-A84E-6C13428F3F68}"/>
    <cellStyle name="_TableRowHead_beta_Pelican - Profit Forecast template 30July07" xfId="1923" xr:uid="{AF2EBCE7-7155-4A1A-9DF7-E0F920ED48B6}"/>
    <cellStyle name="_TableRowHead_beta_pelican.xls" xfId="1924" xr:uid="{B795A75D-F0FD-43C3-810A-F8477DECAA8C}"/>
    <cellStyle name="_TableRowHead_beta_Project Sunflower v24" xfId="1925" xr:uid="{6B6E9EEE-4CD3-44AC-B4DA-536872144FD6}"/>
    <cellStyle name="_TableRowHead_beta_Project Sunflower v24_LVGEM project inputs" xfId="1926" xr:uid="{E7208511-E54A-463A-B1AE-19586959403A}"/>
    <cellStyle name="_TableRowHead_beta_Project Sunflower v24_pelican" xfId="1927" xr:uid="{FDDC4DF4-ED87-43FA-AAAA-466EB3248E3A}"/>
    <cellStyle name="_TableRowHead_beta_Project Sunflower v24_Pelican - Profit Forecast 3Aug07" xfId="1928" xr:uid="{855BF7BD-B321-47BC-AAC3-32E9364BC10C}"/>
    <cellStyle name="_TableRowHead_beta_Project Sunflower v24_Pelican - Profit Forecast template 11July07_chi" xfId="1929" xr:uid="{E681E063-B9B0-41EE-9BE1-EF8403D867A6}"/>
    <cellStyle name="_TableRowHead_beta_Project Sunflower v24_Pelican - Profit Forecast template 29July07" xfId="1930" xr:uid="{FD8588A3-7C0C-427E-99B9-AE9EB3B48747}"/>
    <cellStyle name="_TableRowHead_beta_Project Sunflower v24_Pelican - Profit Forecast template 30July07" xfId="1931" xr:uid="{E9520827-E91B-445D-A982-E2FB5285A9EB}"/>
    <cellStyle name="_TableRowHead_beta_Project Sunflower v24_pelican.xls" xfId="1932" xr:uid="{1448FA1F-C7AE-43DC-B965-EC93A583CFE0}"/>
    <cellStyle name="_TableRowHead_beta_Project Sunflower v25" xfId="1933" xr:uid="{B20B5DD6-1C17-4BFD-862B-11C9A0693570}"/>
    <cellStyle name="_TableRowHead_beta_Project Sunflower v25_LVGEM project inputs" xfId="1934" xr:uid="{CDE86B5F-8F50-4674-B539-11AE9DFAE9EF}"/>
    <cellStyle name="_TableRowHead_beta_Project Sunflower v25_pelican" xfId="1935" xr:uid="{F8DC8F63-5A47-4084-8CDB-436EA143502E}"/>
    <cellStyle name="_TableRowHead_beta_Project Sunflower v25_Pelican - Profit Forecast 3Aug07" xfId="1936" xr:uid="{C1EC59C7-A824-4ED3-919B-269DDC66A6C5}"/>
    <cellStyle name="_TableRowHead_beta_Project Sunflower v25_Pelican - Profit Forecast template 11July07_chi" xfId="1937" xr:uid="{A162B0A6-4BDB-498E-ACF6-B0B3F3474FDF}"/>
    <cellStyle name="_TableRowHead_beta_Project Sunflower v25_Pelican - Profit Forecast template 29July07" xfId="1938" xr:uid="{2CB2D694-84D8-4C8E-9D48-CFA468157D51}"/>
    <cellStyle name="_TableRowHead_beta_Project Sunflower v25_Pelican - Profit Forecast template 30July07" xfId="1939" xr:uid="{926C7E65-03E2-4043-9222-CE7C85C127AB}"/>
    <cellStyle name="_TableRowHead_beta_Project Sunflower v25_pelican.xls" xfId="1940" xr:uid="{C40D5819-80E7-470F-A693-3A5538872E84}"/>
    <cellStyle name="_TableRowHead_Consolidated Statement of Changes in Equity" xfId="1941" xr:uid="{0045B411-CA9C-478A-A2E7-DA032CA6E77F}"/>
    <cellStyle name="_TableRowHead_Consolidated Statement of Changes in Equity (2)" xfId="1942" xr:uid="{3EA7D1AD-7204-490B-8438-FFA25063E2A3}"/>
    <cellStyle name="_TableRowHead_Consolidated Statement of Changes in Equity (2)_LVGEM project inputs" xfId="1943" xr:uid="{103B75AE-9715-4F60-8190-69C0EA073C3E}"/>
    <cellStyle name="_TableRowHead_Consolidated Statement of Changes in Equity (2)_pelican" xfId="1944" xr:uid="{C66F4E94-09BE-481C-891A-68B97FC7834B}"/>
    <cellStyle name="_TableRowHead_Consolidated Statement of Changes in Equity (2)_Pelican - Profit Forecast 3Aug07" xfId="1945" xr:uid="{21D7956C-4BBD-4A39-866B-0FC0C3E5919D}"/>
    <cellStyle name="_TableRowHead_Consolidated Statement of Changes in Equity (2)_Pelican - Profit Forecast template 11July07_chi" xfId="1946" xr:uid="{0B57D69B-A5CD-4A5C-9B2C-3B9F0147349E}"/>
    <cellStyle name="_TableRowHead_Consolidated Statement of Changes in Equity (2)_Pelican - Profit Forecast template 29July07" xfId="1947" xr:uid="{A0AB72CC-DF94-453D-856A-EB15BFA2C044}"/>
    <cellStyle name="_TableRowHead_Consolidated Statement of Changes in Equity (2)_Pelican - Profit Forecast template 30July07" xfId="1948" xr:uid="{034D9D37-0218-4315-960D-2B778FAE6A89}"/>
    <cellStyle name="_TableRowHead_Consolidated Statement of Changes in Equity (2)_pelican.xls" xfId="1949" xr:uid="{FB8BB748-82D3-4987-AC50-B89B379A4F39}"/>
    <cellStyle name="_TableRowHead_Consolidated Statement of Changes in Equity_LVGEM project inputs" xfId="1950" xr:uid="{0F5089CA-DAB5-40AF-9DD2-88694820CD8E}"/>
    <cellStyle name="_TableRowHead_Consolidated Statement of Changes in Equity_pelican" xfId="1951" xr:uid="{5926A9D6-A2F4-4C22-B311-737E0E3BCDB2}"/>
    <cellStyle name="_TableRowHead_Consolidated Statement of Changes in Equity_Pelican - Profit Forecast 3Aug07" xfId="1952" xr:uid="{284784F4-110E-433C-B556-F2ADB4FF5A03}"/>
    <cellStyle name="_TableRowHead_Consolidated Statement of Changes in Equity_Pelican - Profit Forecast template 11July07_chi" xfId="1953" xr:uid="{F580E426-03FC-4CD2-96F3-F89828E15A12}"/>
    <cellStyle name="_TableRowHead_Consolidated Statement of Changes in Equity_Pelican - Profit Forecast template 29July07" xfId="1954" xr:uid="{6B7AEAFF-0D54-4FB0-8879-0B30B2998855}"/>
    <cellStyle name="_TableRowHead_Consolidated Statement of Changes in Equity_Pelican - Profit Forecast template 30July07" xfId="1955" xr:uid="{67565A78-5E5B-40B5-9E79-823A9F7F7176}"/>
    <cellStyle name="_TableRowHead_Consolidated Statement of Changes in Equity_pelican.xls" xfId="1956" xr:uid="{C9A8791C-C04B-4A40-9102-4077FC59CBA1}"/>
    <cellStyle name="_TableRowHead_dcf" xfId="1957" xr:uid="{093EAFAB-1C72-4A24-9CAF-4E98337B207A}"/>
    <cellStyle name="_TableRowHead_DCF Model_v7" xfId="1958" xr:uid="{D66C916E-24A0-428B-A62F-BD0A021E0FE2}"/>
    <cellStyle name="_TableRowHead_DCF Model_v7_LVGEM project inputs" xfId="1959" xr:uid="{AE191AB9-049C-4AEC-9E0D-440F1DAB57A2}"/>
    <cellStyle name="_TableRowHead_DCF Model_v7_pelican" xfId="1960" xr:uid="{5A6E1D80-9D20-48C7-AADD-29AD9FF364CD}"/>
    <cellStyle name="_TableRowHead_DCF Model_v7_Pelican - Profit Forecast 3Aug07" xfId="1961" xr:uid="{94914B7D-CC54-4AD9-99E8-15AD0188C7CE}"/>
    <cellStyle name="_TableRowHead_DCF Model_v7_Pelican - Profit Forecast template 11July07_chi" xfId="1962" xr:uid="{77F7DCFE-E6DA-462E-B1D7-4EACEDE285BD}"/>
    <cellStyle name="_TableRowHead_DCF Model_v7_Pelican - Profit Forecast template 29July07" xfId="1963" xr:uid="{E4119D59-2D62-4568-819C-1ABAE4A1F920}"/>
    <cellStyle name="_TableRowHead_DCF Model_v7_Pelican - Profit Forecast template 30July07" xfId="1964" xr:uid="{EB8A3700-C8D8-4662-BD2F-EB6E375F105B}"/>
    <cellStyle name="_TableRowHead_DCF Model_v7_pelican.xls" xfId="1965" xr:uid="{ACA5E9A3-897D-4135-A79A-E435DF0613E7}"/>
    <cellStyle name="_TableRowHead_DCF Model_v7_Project Sunflower v24" xfId="1966" xr:uid="{D8F61346-AB3C-4A9B-9360-D956FBF11019}"/>
    <cellStyle name="_TableRowHead_DCF Model_v7_Project Sunflower v24_LVGEM project inputs" xfId="1967" xr:uid="{4F907B84-8B6C-4DEA-A4CC-61281EEEFD81}"/>
    <cellStyle name="_TableRowHead_DCF Model_v7_Project Sunflower v24_pelican" xfId="1968" xr:uid="{7A156502-5D2C-4687-9F50-BEE56DB29B0F}"/>
    <cellStyle name="_TableRowHead_DCF Model_v7_Project Sunflower v24_Pelican - Profit Forecast 3Aug07" xfId="1969" xr:uid="{41A586A3-BB19-4FC6-937F-3E8E85FEB3BC}"/>
    <cellStyle name="_TableRowHead_DCF Model_v7_Project Sunflower v24_Pelican - Profit Forecast template 11July07_chi" xfId="1970" xr:uid="{A8A434BA-060F-4C8E-9162-8BC14E45B289}"/>
    <cellStyle name="_TableRowHead_DCF Model_v7_Project Sunflower v24_Pelican - Profit Forecast template 29July07" xfId="1971" xr:uid="{6B70382A-ECFD-4CBA-8169-0C1C4AF5EAE0}"/>
    <cellStyle name="_TableRowHead_DCF Model_v7_Project Sunflower v24_Pelican - Profit Forecast template 30July07" xfId="1972" xr:uid="{BC5621DE-78B1-4751-8B17-568C4B393CC5}"/>
    <cellStyle name="_TableRowHead_DCF Model_v7_Project Sunflower v24_pelican.xls" xfId="1973" xr:uid="{A1795FF7-5C97-4A97-B144-6C91311F041F}"/>
    <cellStyle name="_TableRowHead_DCF Model_v7_Project Sunflower v25" xfId="1974" xr:uid="{F1232C09-3531-45D1-A3BB-4C6BD15BBE89}"/>
    <cellStyle name="_TableRowHead_DCF Model_v7_Project Sunflower v25_LVGEM project inputs" xfId="1975" xr:uid="{7BAF1881-7FD1-4EEA-835E-BFC7887B32EB}"/>
    <cellStyle name="_TableRowHead_DCF Model_v7_Project Sunflower v25_pelican" xfId="1976" xr:uid="{3A713D18-CADF-4355-8A39-B28CB7DC0F78}"/>
    <cellStyle name="_TableRowHead_DCF Model_v7_Project Sunflower v25_Pelican - Profit Forecast 3Aug07" xfId="1977" xr:uid="{23D7BF5C-4E57-4CC3-8F53-143C65A53EE7}"/>
    <cellStyle name="_TableRowHead_DCF Model_v7_Project Sunflower v25_Pelican - Profit Forecast template 11July07_chi" xfId="1978" xr:uid="{80196776-12A4-4332-A33C-BC1B06B27743}"/>
    <cellStyle name="_TableRowHead_DCF Model_v7_Project Sunflower v25_Pelican - Profit Forecast template 29July07" xfId="1979" xr:uid="{7BCDEBC4-BAEC-483E-920B-C3BE8BD29CD0}"/>
    <cellStyle name="_TableRowHead_DCF Model_v7_Project Sunflower v25_Pelican - Profit Forecast template 30July07" xfId="1980" xr:uid="{DF3741A0-79F0-4172-9884-9EBDE4264877}"/>
    <cellStyle name="_TableRowHead_DCF Model_v7_Project Sunflower v25_pelican.xls" xfId="1981" xr:uid="{E06E3231-EC4D-486F-A8B1-8339E5EEC5EE}"/>
    <cellStyle name="_TableRowHead_DCF_050422" xfId="1982" xr:uid="{79C679ED-0B3D-4BD6-BC5C-19F09B574963}"/>
    <cellStyle name="_TableRowHead_DCF_050422_LVGEM project inputs" xfId="1983" xr:uid="{E38B42EC-D2DF-4E47-B69E-18B4BAFB15A8}"/>
    <cellStyle name="_TableRowHead_DCF_050422_pelican" xfId="1984" xr:uid="{FD77B254-3979-4FEE-8F3B-DE8128A82EF1}"/>
    <cellStyle name="_TableRowHead_DCF_050422_Pelican - Profit Forecast 3Aug07" xfId="1985" xr:uid="{D54FFC35-A123-44BA-8F10-5A4A6F3F73A4}"/>
    <cellStyle name="_TableRowHead_DCF_050422_Pelican - Profit Forecast template 11July07_chi" xfId="1986" xr:uid="{F7880198-F83F-457B-BD01-FD52286A4D56}"/>
    <cellStyle name="_TableRowHead_DCF_050422_Pelican - Profit Forecast template 29July07" xfId="1987" xr:uid="{0A6325BD-F570-4E9E-9C99-3514490D5A87}"/>
    <cellStyle name="_TableRowHead_DCF_050422_Pelican - Profit Forecast template 30July07" xfId="1988" xr:uid="{EE93F486-7882-4709-B96B-D518B4EBBAC1}"/>
    <cellStyle name="_TableRowHead_DCF_050422_pelican.xls" xfId="1989" xr:uid="{9A25BF2F-D911-4186-9610-40AC7BABD3E0}"/>
    <cellStyle name="_TableRowHead_DCF_050422_Project Sunflower v24" xfId="1990" xr:uid="{8D215B23-3AF4-4C72-9F08-B2F4E3EC7B8A}"/>
    <cellStyle name="_TableRowHead_DCF_050422_Project Sunflower v24_LVGEM project inputs" xfId="1991" xr:uid="{C0C7E601-7DF2-412E-B0E5-6522DC45F4D7}"/>
    <cellStyle name="_TableRowHead_DCF_050422_Project Sunflower v24_pelican" xfId="1992" xr:uid="{C0B7B119-638C-4A7C-8036-5F6C51A8F09A}"/>
    <cellStyle name="_TableRowHead_DCF_050422_Project Sunflower v24_Pelican - Profit Forecast 3Aug07" xfId="1993" xr:uid="{691714EF-395D-4A54-BEC1-0C9DA01BCCAC}"/>
    <cellStyle name="_TableRowHead_DCF_050422_Project Sunflower v24_Pelican - Profit Forecast template 11July07_chi" xfId="1994" xr:uid="{BA100D32-559F-4F7B-B5CF-DD5CE7592F2D}"/>
    <cellStyle name="_TableRowHead_DCF_050422_Project Sunflower v24_Pelican - Profit Forecast template 29July07" xfId="1995" xr:uid="{69D12E5F-72E9-4A35-B57F-B9DF60E5FF6F}"/>
    <cellStyle name="_TableRowHead_DCF_050422_Project Sunflower v24_Pelican - Profit Forecast template 30July07" xfId="1996" xr:uid="{E6568BFF-082A-4701-86B2-B2EF69ECB693}"/>
    <cellStyle name="_TableRowHead_DCF_050422_Project Sunflower v24_pelican.xls" xfId="1997" xr:uid="{FA8E7E8E-E029-4022-BA77-67C81F581E86}"/>
    <cellStyle name="_TableRowHead_DCF_050422_Project Sunflower v25" xfId="1998" xr:uid="{1E0019ED-BBAE-4C13-8AFA-3966A0673B88}"/>
    <cellStyle name="_TableRowHead_DCF_050422_Project Sunflower v25_LVGEM project inputs" xfId="1999" xr:uid="{12B6D141-58C4-491E-A2E6-EA4F9C693D0E}"/>
    <cellStyle name="_TableRowHead_DCF_050422_Project Sunflower v25_pelican" xfId="2000" xr:uid="{4A6ED85D-B013-462F-B3FE-A02FA4B6BF8C}"/>
    <cellStyle name="_TableRowHead_DCF_050422_Project Sunflower v25_Pelican - Profit Forecast 3Aug07" xfId="2001" xr:uid="{D3A822A5-2399-4B84-A4C6-5B2836CD5A6A}"/>
    <cellStyle name="_TableRowHead_DCF_050422_Project Sunflower v25_Pelican - Profit Forecast template 11July07_chi" xfId="2002" xr:uid="{1C4EFAF9-4219-4FED-8E9D-AFFE6B429D08}"/>
    <cellStyle name="_TableRowHead_DCF_050422_Project Sunflower v25_Pelican - Profit Forecast template 29July07" xfId="2003" xr:uid="{F54C971D-8451-41F7-A7CF-FDE969299B9F}"/>
    <cellStyle name="_TableRowHead_DCF_050422_Project Sunflower v25_Pelican - Profit Forecast template 30July07" xfId="2004" xr:uid="{07A03C27-4ED3-4B75-9133-2181F2753B58}"/>
    <cellStyle name="_TableRowHead_DCF_050422_Project Sunflower v25_pelican.xls" xfId="2005" xr:uid="{CFA336E2-7459-4CCF-9EDF-F1DFAA5047E7}"/>
    <cellStyle name="_TableRowHead_dcf_LVGEM project inputs" xfId="2006" xr:uid="{C3D8823C-BA43-4F39-BBC7-E53D0BA324E8}"/>
    <cellStyle name="_TableRowHead_dcf_pelican" xfId="2007" xr:uid="{1D3CCBA8-5486-4A42-A252-2480D3E0569C}"/>
    <cellStyle name="_TableRowHead_dcf_Pelican - Profit Forecast 3Aug07" xfId="2008" xr:uid="{31E5344B-5730-4ECF-A738-B40046347CD2}"/>
    <cellStyle name="_TableRowHead_dcf_Pelican - Profit Forecast template 11July07_chi" xfId="2009" xr:uid="{673E4469-E140-4E21-A39B-050F9DF02784}"/>
    <cellStyle name="_TableRowHead_dcf_Pelican - Profit Forecast template 29July07" xfId="2010" xr:uid="{A8C0FFF2-38A1-44A1-9385-1AABE89D77CF}"/>
    <cellStyle name="_TableRowHead_dcf_Pelican - Profit Forecast template 30July07" xfId="2011" xr:uid="{601379B4-4F28-49F4-99B5-79713A208D5B}"/>
    <cellStyle name="_TableRowHead_dcf_pelican.xls" xfId="2012" xr:uid="{F8BB95F5-ABE5-43DE-8D18-9E041DD3C934}"/>
    <cellStyle name="_TableRowHead_dcf_Project Sunflower v24" xfId="2013" xr:uid="{6BF93076-65AE-4515-8D34-08016394517B}"/>
    <cellStyle name="_TableRowHead_dcf_Project Sunflower v24_LVGEM project inputs" xfId="2014" xr:uid="{3103B5BF-8127-420F-B5A3-2417F2FBB8EA}"/>
    <cellStyle name="_TableRowHead_dcf_Project Sunflower v24_pelican" xfId="2015" xr:uid="{76B522E8-DA24-47A4-85A6-108F8E8AF4B5}"/>
    <cellStyle name="_TableRowHead_dcf_Project Sunflower v24_Pelican - Profit Forecast 3Aug07" xfId="2016" xr:uid="{52251A07-9016-4B8F-A2F1-E628024D7424}"/>
    <cellStyle name="_TableRowHead_dcf_Project Sunflower v24_Pelican - Profit Forecast template 11July07_chi" xfId="2017" xr:uid="{BC121819-FB2B-41F7-9E42-E88199967473}"/>
    <cellStyle name="_TableRowHead_dcf_Project Sunflower v24_Pelican - Profit Forecast template 29July07" xfId="2018" xr:uid="{E50DD2A2-AEF7-4378-9885-CE6A86CF29BB}"/>
    <cellStyle name="_TableRowHead_dcf_Project Sunflower v24_Pelican - Profit Forecast template 30July07" xfId="2019" xr:uid="{1C5648EE-8B2F-4720-9917-2CC0349938AC}"/>
    <cellStyle name="_TableRowHead_dcf_Project Sunflower v24_pelican.xls" xfId="2020" xr:uid="{133F340D-0650-4A35-8492-599C87F6BFC4}"/>
    <cellStyle name="_TableRowHead_dcf_Project Sunflower v25" xfId="2021" xr:uid="{C0F250F1-591D-48B3-94EA-D138FC4156FC}"/>
    <cellStyle name="_TableRowHead_dcf_Project Sunflower v25_LVGEM project inputs" xfId="2022" xr:uid="{295647DE-5E0B-48BA-8DB3-DA010B2EC30C}"/>
    <cellStyle name="_TableRowHead_dcf_Project Sunflower v25_pelican" xfId="2023" xr:uid="{45E14BE3-962A-42C9-B849-4992DA0DF2F6}"/>
    <cellStyle name="_TableRowHead_dcf_Project Sunflower v25_Pelican - Profit Forecast 3Aug07" xfId="2024" xr:uid="{8B923F51-10FD-4DA9-9010-FA5A247EC3F6}"/>
    <cellStyle name="_TableRowHead_dcf_Project Sunflower v25_Pelican - Profit Forecast template 11July07_chi" xfId="2025" xr:uid="{C0E61500-DD78-4940-B701-5A1BB3EBBD22}"/>
    <cellStyle name="_TableRowHead_dcf_Project Sunflower v25_Pelican - Profit Forecast template 29July07" xfId="2026" xr:uid="{E7776F68-FA84-4E5B-B6F6-117692FFC8E9}"/>
    <cellStyle name="_TableRowHead_dcf_Project Sunflower v25_Pelican - Profit Forecast template 30July07" xfId="2027" xr:uid="{C0F8BD5B-88A2-457B-A834-926E8325DFBB}"/>
    <cellStyle name="_TableRowHead_dcf_Project Sunflower v25_pelican.xls" xfId="2028" xr:uid="{2AECB67F-8863-4A37-88F5-741227400C17}"/>
    <cellStyle name="_TableRowHead_Financial Model_v13" xfId="2029" xr:uid="{F9D101F1-6D0A-40A0-BB67-17BDD62D5EB0}"/>
    <cellStyle name="_TableRowHead_Financial Model_v13_LVGEM project inputs" xfId="2030" xr:uid="{F8E293D1-60A8-4764-AAC5-90ABFEF438B8}"/>
    <cellStyle name="_TableRowHead_Financial Model_v13_pelican" xfId="2031" xr:uid="{1766BD46-6A1E-4495-8AD5-B7F527A4EB40}"/>
    <cellStyle name="_TableRowHead_Financial Model_v13_Pelican - Profit Forecast 3Aug07" xfId="2032" xr:uid="{14735090-276F-4F55-BD7F-AFAC4CA6BCC4}"/>
    <cellStyle name="_TableRowHead_Financial Model_v13_Pelican - Profit Forecast template 11July07_chi" xfId="2033" xr:uid="{D0B54CDC-CA57-46A4-8BBD-DB7192AAC7E5}"/>
    <cellStyle name="_TableRowHead_Financial Model_v13_Pelican - Profit Forecast template 29July07" xfId="2034" xr:uid="{487A34CC-07C3-4DF2-9FC1-EB0D4D7DD41E}"/>
    <cellStyle name="_TableRowHead_Financial Model_v13_Pelican - Profit Forecast template 30July07" xfId="2035" xr:uid="{06B7D35D-7A93-4776-ABD9-1E3E41C8C21B}"/>
    <cellStyle name="_TableRowHead_Financial Model_v13_pelican.xls" xfId="2036" xr:uid="{F96C5724-8247-418F-ADF8-3B35FE99A510}"/>
    <cellStyle name="_TableRowHead_fund model 5" xfId="2037" xr:uid="{22EF8E3B-DCA0-4068-9180-DBC4504BECBB}"/>
    <cellStyle name="_TableRowHead_fund model 5_LVGEM project inputs" xfId="2038" xr:uid="{8B85797B-655D-4B95-A90E-6A88B02B758A}"/>
    <cellStyle name="_TableRowHead_fund model 5_pelican" xfId="2039" xr:uid="{6D506DB1-A437-4ACC-8C20-F6833E723255}"/>
    <cellStyle name="_TableRowHead_fund model 5_Pelican - Profit Forecast 3Aug07" xfId="2040" xr:uid="{8E929799-FFC1-4F4C-A56C-615C71AF2B5D}"/>
    <cellStyle name="_TableRowHead_fund model 5_Pelican - Profit Forecast template 11July07_chi" xfId="2041" xr:uid="{7EA86270-50DB-452F-BE63-F33C7903EE80}"/>
    <cellStyle name="_TableRowHead_fund model 5_Pelican - Profit Forecast template 29July07" xfId="2042" xr:uid="{A11A5C90-42B0-44CB-B13E-275C0EB02BC6}"/>
    <cellStyle name="_TableRowHead_fund model 5_Pelican - Profit Forecast template 30July07" xfId="2043" xr:uid="{E1B7294C-51EB-4C36-A53C-9EFFA8E6C791}"/>
    <cellStyle name="_TableRowHead_fund model 5_pelican.xls" xfId="2044" xr:uid="{8F2411C2-F35F-49A8-87ED-C8C05C82CFBB}"/>
    <cellStyle name="_TableRowHead_Mindray Medical Intl Ltd Consolidated" xfId="2045" xr:uid="{C6C1C50A-2B0A-4993-A50A-B4AD9FA13685}"/>
    <cellStyle name="_TableRowHead_Mindray Medical Intl Ltd Consolidated_LVGEM project inputs" xfId="2046" xr:uid="{ECEB2775-47FB-4ADD-991C-0DF4F29818D0}"/>
    <cellStyle name="_TableRowHead_Mindray Medical Intl Ltd Consolidated_pelican" xfId="2047" xr:uid="{E34D4973-A8D4-476F-8CC7-7ED4DB83583E}"/>
    <cellStyle name="_TableRowHead_Mindray Medical Intl Ltd Consolidated_Pelican - Profit Forecast 3Aug07" xfId="2048" xr:uid="{E828779D-1650-44DB-B300-89FE27E7478D}"/>
    <cellStyle name="_TableRowHead_Mindray Medical Intl Ltd Consolidated_Pelican - Profit Forecast template 11July07_chi" xfId="2049" xr:uid="{53A7DF70-F687-43BD-8F82-3566CFF32E8E}"/>
    <cellStyle name="_TableRowHead_Mindray Medical Intl Ltd Consolidated_Pelican - Profit Forecast template 29July07" xfId="2050" xr:uid="{A672950E-CC16-4189-B7AE-57CA3D0AEBCF}"/>
    <cellStyle name="_TableRowHead_Mindray Medical Intl Ltd Consolidated_Pelican - Profit Forecast template 30July07" xfId="2051" xr:uid="{DAE424F5-CCF4-4CE9-BFF4-DBE498C5DBF8}"/>
    <cellStyle name="_TableRowHead_Mindray Medical Intl Ltd Consolidated_pelican.xls" xfId="2052" xr:uid="{C2EC3023-36D1-4D87-9BB9-597B55D42F6D}"/>
    <cellStyle name="_TableRowHead_Page no-115" xfId="2053" xr:uid="{5FA187A6-B4C2-466A-9C75-715288454DA7}"/>
    <cellStyle name="_TableRowHead_Page no-115_LVGEM project inputs" xfId="2054" xr:uid="{267A5831-3C8F-425F-BE18-99B7FADE23B6}"/>
    <cellStyle name="_TableRowHead_Page no-115_pelican" xfId="2055" xr:uid="{936265E8-F063-46C8-A59E-8F6F464D3433}"/>
    <cellStyle name="_TableRowHead_Page no-115_Pelican - Profit Forecast 3Aug07" xfId="2056" xr:uid="{51502248-86B3-47FA-9058-CB5790A23CB8}"/>
    <cellStyle name="_TableRowHead_Page no-115_Pelican - Profit Forecast template 11July07_chi" xfId="2057" xr:uid="{C5ABCCE8-8C1A-4BEE-878C-7492A3F4B98F}"/>
    <cellStyle name="_TableRowHead_Page no-115_Pelican - Profit Forecast template 29July07" xfId="2058" xr:uid="{C2821080-E0F5-4DD1-8CA7-DEDC97575CBD}"/>
    <cellStyle name="_TableRowHead_Page no-115_Pelican - Profit Forecast template 30July07" xfId="2059" xr:uid="{8C2DE0BB-6B90-497D-983E-8C59D5FDC1CB}"/>
    <cellStyle name="_TableRowHead_Page no-115_pelican.xls" xfId="2060" xr:uid="{BE704293-51B7-45DA-8B99-C6068A5A604E}"/>
    <cellStyle name="_TableRowHead_Project Sunflower v26_CommCommFinal_(print)" xfId="2061" xr:uid="{DB919FE2-6308-4CA5-A807-833C5A39143D}"/>
    <cellStyle name="_TableRowHead_Project Sunflower v26_CommCommFinal_(print)_LVGEM project inputs" xfId="2062" xr:uid="{11C0CCEB-D60C-44C3-9E32-529F89E3397A}"/>
    <cellStyle name="_TableRowHead_Project Sunflower v26_CommCommFinal_(print)_pelican" xfId="2063" xr:uid="{0DDA00FD-6783-4B1D-9459-5EBCACFD9626}"/>
    <cellStyle name="_TableRowHead_Project Sunflower v26_CommCommFinal_(print)_Pelican - Profit Forecast 3Aug07" xfId="2064" xr:uid="{8D707979-2871-4F18-82BF-215965CF39A8}"/>
    <cellStyle name="_TableRowHead_Project Sunflower v26_CommCommFinal_(print)_Pelican - Profit Forecast template 11July07_chi" xfId="2065" xr:uid="{BEF11CAC-35BD-4081-8EA0-CB444CD7D326}"/>
    <cellStyle name="_TableRowHead_Project Sunflower v26_CommCommFinal_(print)_Pelican - Profit Forecast template 29July07" xfId="2066" xr:uid="{D02B2E15-CD9B-41F3-9F89-09D266B29D5E}"/>
    <cellStyle name="_TableRowHead_Project Sunflower v26_CommCommFinal_(print)_Pelican - Profit Forecast template 30July07" xfId="2067" xr:uid="{A8128778-08BC-4764-843D-5DE85E383BF9}"/>
    <cellStyle name="_TableRowHead_Project Sunflower v26_CommCommFinal_(print)_pelican.xls" xfId="2068" xr:uid="{4833759D-4970-45B4-8EAB-7FEF3177272D}"/>
    <cellStyle name="_TableRowHead_Shanghai DCF 13_JV 70%_New B shares_playing 2" xfId="2069" xr:uid="{AE692A10-7CC2-4210-B6BB-2BEE3452D4E1}"/>
    <cellStyle name="_TableRowHead_Shanghai DCF 13_JV 70%_New B shares_playing 2_LVGEM project inputs" xfId="2070" xr:uid="{4EE3E8DC-35C1-44AA-9EC9-81145FBBCA6C}"/>
    <cellStyle name="_TableRowHead_Shanghai DCF 13_JV 70%_New B shares_playing 2_pelican" xfId="2071" xr:uid="{CAF8493D-D7AF-430E-8CE3-EC945D6EEA89}"/>
    <cellStyle name="_TableRowHead_Shanghai DCF 13_JV 70%_New B shares_playing 2_Pelican - Profit Forecast 3Aug07" xfId="2072" xr:uid="{0E013561-720A-44DF-9F78-4DBF10FE39A1}"/>
    <cellStyle name="_TableRowHead_Shanghai DCF 13_JV 70%_New B shares_playing 2_Pelican - Profit Forecast template 11July07_chi" xfId="2073" xr:uid="{513F02F1-60BE-4A9A-871C-4FCFB2AB0C82}"/>
    <cellStyle name="_TableRowHead_Shanghai DCF 13_JV 70%_New B shares_playing 2_Pelican - Profit Forecast template 29July07" xfId="2074" xr:uid="{620C05A5-0DA9-44EB-8EC1-758C81A7F527}"/>
    <cellStyle name="_TableRowHead_Shanghai DCF 13_JV 70%_New B shares_playing 2_Pelican - Profit Forecast template 30July07" xfId="2075" xr:uid="{4A7FB8D8-8B9E-4560-8811-50AD3C9E73BC}"/>
    <cellStyle name="_TableRowHead_Shanghai DCF 13_JV 70%_New B shares_playing 2_pelican.xls" xfId="2076" xr:uid="{F5D69A57-267A-4168-B20A-01FE6729ED3D}"/>
    <cellStyle name="_TableRowHead_Shanghai DCF 13_JV 70%_New B shares_playing 2_Project Sunflower v24" xfId="2077" xr:uid="{9969324F-F597-4155-8063-9875B90C2A46}"/>
    <cellStyle name="_TableRowHead_Shanghai DCF 13_JV 70%_New B shares_playing 2_Project Sunflower v24_LVGEM project inputs" xfId="2078" xr:uid="{5DE4253E-2C25-41A3-90B0-16BB4349FCF2}"/>
    <cellStyle name="_TableRowHead_Shanghai DCF 13_JV 70%_New B shares_playing 2_Project Sunflower v24_pelican" xfId="2079" xr:uid="{3DCA48AC-FE9D-472C-A2BD-0B572C951033}"/>
    <cellStyle name="_TableRowHead_Shanghai DCF 13_JV 70%_New B shares_playing 2_Project Sunflower v24_Pelican - Profit Forecast 3Aug07" xfId="2080" xr:uid="{8FE8AC1B-85C6-4E4A-B0DF-623E401AD5C8}"/>
    <cellStyle name="_TableRowHead_Shanghai DCF 13_JV 70%_New B shares_playing 2_Project Sunflower v24_Pelican - Profit Forecast template 11July07_chi" xfId="2081" xr:uid="{B23938B8-6DB6-4836-BF22-C49748424C62}"/>
    <cellStyle name="_TableRowHead_Shanghai DCF 13_JV 70%_New B shares_playing 2_Project Sunflower v24_Pelican - Profit Forecast template 29July07" xfId="2082" xr:uid="{347CEF18-D7AF-43D3-B0A1-4689C8490472}"/>
    <cellStyle name="_TableRowHead_Shanghai DCF 13_JV 70%_New B shares_playing 2_Project Sunflower v24_Pelican - Profit Forecast template 30July07" xfId="2083" xr:uid="{7E10F16C-E37C-4361-A727-E6A56DF01E03}"/>
    <cellStyle name="_TableRowHead_Shanghai DCF 13_JV 70%_New B shares_playing 2_Project Sunflower v24_pelican.xls" xfId="2084" xr:uid="{89F5229A-F702-493E-86D1-F7C07D599D59}"/>
    <cellStyle name="_TableRowHead_Shanghai DCF 13_JV 70%_New B shares_playing 2_Project Sunflower v25" xfId="2085" xr:uid="{A7E8FD04-0D6A-458B-86E7-1747EFC956DE}"/>
    <cellStyle name="_TableRowHead_Shanghai DCF 13_JV 70%_New B shares_playing 2_Project Sunflower v25_LVGEM project inputs" xfId="2086" xr:uid="{F6468DFF-1170-4345-AC79-2952876AB370}"/>
    <cellStyle name="_TableRowHead_Shanghai DCF 13_JV 70%_New B shares_playing 2_Project Sunflower v25_pelican" xfId="2087" xr:uid="{759755FB-30D5-40C3-B525-75650A57B27F}"/>
    <cellStyle name="_TableRowHead_Shanghai DCF 13_JV 70%_New B shares_playing 2_Project Sunflower v25_Pelican - Profit Forecast 3Aug07" xfId="2088" xr:uid="{41D79390-3610-4CED-950E-FBB9FB9CA33E}"/>
    <cellStyle name="_TableRowHead_Shanghai DCF 13_JV 70%_New B shares_playing 2_Project Sunflower v25_Pelican - Profit Forecast template 11July07_chi" xfId="2089" xr:uid="{4D58E814-A978-4A91-8B8E-ED81AFA87620}"/>
    <cellStyle name="_TableRowHead_Shanghai DCF 13_JV 70%_New B shares_playing 2_Project Sunflower v25_Pelican - Profit Forecast template 29July07" xfId="2090" xr:uid="{9CC9D49F-50B9-4DB4-9A69-A2026578EE30}"/>
    <cellStyle name="_TableRowHead_Shanghai DCF 13_JV 70%_New B shares_playing 2_Project Sunflower v25_Pelican - Profit Forecast template 30July07" xfId="2091" xr:uid="{C0379273-FF92-423F-BFED-6F2E3F86348C}"/>
    <cellStyle name="_TableRowHead_Shanghai DCF 13_JV 70%_New B shares_playing 2_Project Sunflower v25_pelican.xls" xfId="2092" xr:uid="{74AF632E-0F98-4D3F-916C-DB9BE3DAC58E}"/>
    <cellStyle name="_TableRowHead_Shimao Valuation Model_v49_BH_Comm Comm_v5" xfId="2093" xr:uid="{3814A3A7-C985-4C75-86F3-1EC5E53AECFC}"/>
    <cellStyle name="_TableRowHead_Shimao Valuation Model_v49_BH_Comm Comm_v5_LVGEM project inputs" xfId="2094" xr:uid="{B63E0214-D3DD-407E-9CB7-A4C2D80BDFDD}"/>
    <cellStyle name="_TableRowHead_Shimao Valuation Model_v49_BH_Comm Comm_v5_pelican" xfId="2095" xr:uid="{1A6DF3EB-83CD-43E8-9541-82AC215DB6BA}"/>
    <cellStyle name="_TableRowHead_Shimao Valuation Model_v49_BH_Comm Comm_v5_Pelican - Profit Forecast 3Aug07" xfId="2096" xr:uid="{B61305BE-138D-4A87-9F74-C5F6526998AB}"/>
    <cellStyle name="_TableRowHead_Shimao Valuation Model_v49_BH_Comm Comm_v5_Pelican - Profit Forecast template 11July07_chi" xfId="2097" xr:uid="{8FCAA5A4-6B14-4629-BBE5-C7598DFA77F3}"/>
    <cellStyle name="_TableRowHead_Shimao Valuation Model_v49_BH_Comm Comm_v5_Pelican - Profit Forecast template 29July07" xfId="2098" xr:uid="{FE8E897A-1D0A-47DA-862D-E411023FF1EA}"/>
    <cellStyle name="_TableRowHead_Shimao Valuation Model_v49_BH_Comm Comm_v5_Pelican - Profit Forecast template 30July07" xfId="2099" xr:uid="{1C5279BC-AC24-4B5A-86CC-B450BDFA0159}"/>
    <cellStyle name="_TableRowHead_Shimao Valuation Model_v49_BH_Comm Comm_v5_pelican.xls" xfId="2100" xr:uid="{4D5F4675-AE3D-4911-8FCD-FA4CE76BEAE5}"/>
    <cellStyle name="_TableRowHead_Sinochem DCF version 15" xfId="2101" xr:uid="{45024597-6B93-42A3-9A92-CB9710B272A9}"/>
    <cellStyle name="_TableRowHead_Sinochem DCF version 15_LVGEM project inputs" xfId="2102" xr:uid="{437F06A3-184E-4171-AC98-7E10FC2C8A63}"/>
    <cellStyle name="_TableRowHead_Sinochem DCF version 15_pelican" xfId="2103" xr:uid="{E3D7AEEF-4764-488B-9413-E0CBEEAB622D}"/>
    <cellStyle name="_TableRowHead_Sinochem DCF version 15_Pelican - Profit Forecast 3Aug07" xfId="2104" xr:uid="{7CAB14A2-7A27-4E82-933B-FCA7EC39AADB}"/>
    <cellStyle name="_TableRowHead_Sinochem DCF version 15_Pelican - Profit Forecast template 11July07_chi" xfId="2105" xr:uid="{21D47279-306E-4356-8845-1D04AF0DF83F}"/>
    <cellStyle name="_TableRowHead_Sinochem DCF version 15_Pelican - Profit Forecast template 29July07" xfId="2106" xr:uid="{60E11468-3E00-4653-9832-B5FB86F23B4A}"/>
    <cellStyle name="_TableRowHead_Sinochem DCF version 15_Pelican - Profit Forecast template 30July07" xfId="2107" xr:uid="{7C1B3111-6ED9-43B1-9BAB-BC2F8924376F}"/>
    <cellStyle name="_TableRowHead_Sinochem DCF version 15_pelican.xls" xfId="2108" xr:uid="{9A521FBD-A227-4DEC-AC9B-4A3EA2A6662D}"/>
    <cellStyle name="_TableRowHead_Sinochem DCF version 15_Project Sunflower v24" xfId="2109" xr:uid="{A14AB26E-26D8-44F1-8D8C-087C4EE88E5F}"/>
    <cellStyle name="_TableRowHead_Sinochem DCF version 15_Project Sunflower v24_LVGEM project inputs" xfId="2110" xr:uid="{25A86C6B-F350-4149-BFAF-C14142B8A619}"/>
    <cellStyle name="_TableRowHead_Sinochem DCF version 15_Project Sunflower v24_pelican" xfId="2111" xr:uid="{6C7519F0-2E77-458A-8AA8-6DC0D7992FDB}"/>
    <cellStyle name="_TableRowHead_Sinochem DCF version 15_Project Sunflower v24_Pelican - Profit Forecast 3Aug07" xfId="2112" xr:uid="{7893ED9C-FF96-40E0-9BFB-AD29722E62F0}"/>
    <cellStyle name="_TableRowHead_Sinochem DCF version 15_Project Sunflower v24_Pelican - Profit Forecast template 11July07_chi" xfId="2113" xr:uid="{8C6BAAF7-5258-47F7-856A-E54CD1682F58}"/>
    <cellStyle name="_TableRowHead_Sinochem DCF version 15_Project Sunflower v24_Pelican - Profit Forecast template 29July07" xfId="2114" xr:uid="{EFE213F4-7747-43DA-928C-45ECFDC23200}"/>
    <cellStyle name="_TableRowHead_Sinochem DCF version 15_Project Sunflower v24_Pelican - Profit Forecast template 30July07" xfId="2115" xr:uid="{FEC60133-D50A-4FA8-9931-00522116B217}"/>
    <cellStyle name="_TableRowHead_Sinochem DCF version 15_Project Sunflower v24_pelican.xls" xfId="2116" xr:uid="{49BE57AF-6FD5-4F18-8A4A-C13A38B6E90D}"/>
    <cellStyle name="_TableRowHead_Sinochem DCF version 15_Project Sunflower v25" xfId="2117" xr:uid="{E974AFCD-E424-4D1B-B6BB-FECD98DDC7F2}"/>
    <cellStyle name="_TableRowHead_Sinochem DCF version 15_Project Sunflower v25_LVGEM project inputs" xfId="2118" xr:uid="{0F31D788-FC61-44D4-B837-868EBE5AC567}"/>
    <cellStyle name="_TableRowHead_Sinochem DCF version 15_Project Sunflower v25_pelican" xfId="2119" xr:uid="{3786F271-511A-4B87-A6D8-FFBE22DDDB67}"/>
    <cellStyle name="_TableRowHead_Sinochem DCF version 15_Project Sunflower v25_Pelican - Profit Forecast 3Aug07" xfId="2120" xr:uid="{73A2C7CB-30D7-4128-9565-45E4E89576EE}"/>
    <cellStyle name="_TableRowHead_Sinochem DCF version 15_Project Sunflower v25_Pelican - Profit Forecast template 11July07_chi" xfId="2121" xr:uid="{0B6F16A2-C5F3-48FD-84A5-46951C466C7E}"/>
    <cellStyle name="_TableRowHead_Sinochem DCF version 15_Project Sunflower v25_Pelican - Profit Forecast template 29July07" xfId="2122" xr:uid="{BD55A36D-4216-4E60-8477-1044FFA574A8}"/>
    <cellStyle name="_TableRowHead_Sinochem DCF version 15_Project Sunflower v25_Pelican - Profit Forecast template 30July07" xfId="2123" xr:uid="{FEFC8D55-0567-4237-83EA-20697BAD6DE3}"/>
    <cellStyle name="_TableRowHead_Sinochem DCF version 15_Project Sunflower v25_pelican.xls" xfId="2124" xr:uid="{F66421E3-A63D-4B6E-A0B0-4E5133A12F02}"/>
    <cellStyle name="_TableRowHead_test_PF_Rightway Model_v6_2" xfId="2125" xr:uid="{F2805B76-D1F2-42D1-A2EC-DD3A2500B148}"/>
    <cellStyle name="_TableRowHead_test_PF_Rightway Model_v6_2_LVGEM project inputs" xfId="2126" xr:uid="{1C480793-4484-4867-BCB7-217D678DA777}"/>
    <cellStyle name="_TableRowHead_test_PF_Rightway Model_v6_2_pelican" xfId="2127" xr:uid="{55FDC52D-03FD-4669-9959-00850E29EAA0}"/>
    <cellStyle name="_TableRowHead_test_PF_Rightway Model_v6_2_Pelican - Profit Forecast 3Aug07" xfId="2128" xr:uid="{5046E5CD-0FD1-4FE1-8D94-0E867ACC973A}"/>
    <cellStyle name="_TableRowHead_test_PF_Rightway Model_v6_2_Pelican - Profit Forecast template 11July07_chi" xfId="2129" xr:uid="{DBA81922-BC1B-48F7-91F4-1CC0B6A11F13}"/>
    <cellStyle name="_TableRowHead_test_PF_Rightway Model_v6_2_Pelican - Profit Forecast template 29July07" xfId="2130" xr:uid="{C537F8E7-2E0D-4FBC-B55A-B6898BF58A71}"/>
    <cellStyle name="_TableRowHead_test_PF_Rightway Model_v6_2_Pelican - Profit Forecast template 30July07" xfId="2131" xr:uid="{6235EDEB-71B8-4B91-9DD0-72A35FFD2850}"/>
    <cellStyle name="_TableRowHead_test_PF_Rightway Model_v6_2_pelican.xls" xfId="2132" xr:uid="{C2824DC8-964C-48BB-B82A-28B087F7C34B}"/>
    <cellStyle name="_TableRowHead_Transaction-based Valuation of Lynx" xfId="2133" xr:uid="{407A9446-035D-4E6E-B1F0-DE03D19C652F}"/>
    <cellStyle name="_TableRowHead_Transaction-based Valuation of Lynx_LVGEM project inputs" xfId="2134" xr:uid="{4FFBFDA8-63C9-4A6C-B0AA-E25773C034C9}"/>
    <cellStyle name="_TableRowHead_Transaction-based Valuation of Lynx_pelican" xfId="2135" xr:uid="{23D16B74-637A-4F55-AE24-F1524CD51FC2}"/>
    <cellStyle name="_TableRowHead_Transaction-based Valuation of Lynx_Pelican - Profit Forecast 3Aug07" xfId="2136" xr:uid="{6B0C0D95-B15E-4727-B26C-1E167DD19194}"/>
    <cellStyle name="_TableRowHead_Transaction-based Valuation of Lynx_Pelican - Profit Forecast template 11July07_chi" xfId="2137" xr:uid="{EDFB5381-D781-4F65-9B63-E54F92D6C2E3}"/>
    <cellStyle name="_TableRowHead_Transaction-based Valuation of Lynx_Pelican - Profit Forecast template 29July07" xfId="2138" xr:uid="{445032FA-AA3D-4E36-86C8-64FA6AC05F63}"/>
    <cellStyle name="_TableRowHead_Transaction-based Valuation of Lynx_Pelican - Profit Forecast template 30July07" xfId="2139" xr:uid="{CDA3FDDD-C7EF-427E-A7C8-474765B0B449}"/>
    <cellStyle name="_TableRowHead_Transaction-based Valuation of Lynx_pelican.xls" xfId="2140" xr:uid="{88259EDE-5B71-446E-8FFC-49767EF21014}"/>
    <cellStyle name="_TableRowHead_WACC_template" xfId="2141" xr:uid="{AD99887C-9F50-4B1C-88B7-DB331B0E5457}"/>
    <cellStyle name="_TableRowHead_WACC_template_LVGEM project inputs" xfId="2142" xr:uid="{70D17EC2-FB60-4627-A132-C73D2296B5EF}"/>
    <cellStyle name="_TableRowHead_WACC_template_pelican" xfId="2143" xr:uid="{4A953B4A-C863-4CDD-BEF4-547023B857C0}"/>
    <cellStyle name="_TableRowHead_WACC_template_Pelican - Profit Forecast 3Aug07" xfId="2144" xr:uid="{EF3BFC54-E6AF-4E3C-93B6-444CC9044873}"/>
    <cellStyle name="_TableRowHead_WACC_template_Pelican - Profit Forecast template 11July07_chi" xfId="2145" xr:uid="{77E9CB32-E803-4EBA-B471-6B5F79DBC0BD}"/>
    <cellStyle name="_TableRowHead_WACC_template_Pelican - Profit Forecast template 29July07" xfId="2146" xr:uid="{EBA6B9CA-965F-498B-9A63-983A327BE68C}"/>
    <cellStyle name="_TableRowHead_WACC_template_Pelican - Profit Forecast template 30July07" xfId="2147" xr:uid="{765065C6-2ED0-4E74-9055-2351DBBD415E}"/>
    <cellStyle name="_TableRowHead_WACC_template_pelican.xls" xfId="2148" xr:uid="{71D629A5-9A5A-4CEC-A62D-63DF1B490769}"/>
    <cellStyle name="_TableRowHead_WACC_template_Project Sunflower v24" xfId="2149" xr:uid="{0E8E516A-14EC-4BB9-9520-B38BC597EDE2}"/>
    <cellStyle name="_TableRowHead_WACC_template_Project Sunflower v24_LVGEM project inputs" xfId="2150" xr:uid="{422106AE-B888-4699-ABB5-6C9E03D040E9}"/>
    <cellStyle name="_TableRowHead_WACC_template_Project Sunflower v24_pelican" xfId="2151" xr:uid="{38FC37F2-DDFE-4BFB-B2DC-E1DF601ACAD7}"/>
    <cellStyle name="_TableRowHead_WACC_template_Project Sunflower v24_Pelican - Profit Forecast 3Aug07" xfId="2152" xr:uid="{6B8E49F3-393E-47C8-96BE-81A29298E75D}"/>
    <cellStyle name="_TableRowHead_WACC_template_Project Sunflower v24_Pelican - Profit Forecast template 11July07_chi" xfId="2153" xr:uid="{1377CB06-2BC3-4A6A-8F97-19BF3D6461B6}"/>
    <cellStyle name="_TableRowHead_WACC_template_Project Sunflower v24_Pelican - Profit Forecast template 29July07" xfId="2154" xr:uid="{DC3A22EF-2D23-42A5-BF7B-D71B04D8A350}"/>
    <cellStyle name="_TableRowHead_WACC_template_Project Sunflower v24_Pelican - Profit Forecast template 30July07" xfId="2155" xr:uid="{2049FF91-1468-4622-AB2A-214325059843}"/>
    <cellStyle name="_TableRowHead_WACC_template_Project Sunflower v24_pelican.xls" xfId="2156" xr:uid="{9D1D6A3E-531F-4E32-85E9-BC704C2ECA1C}"/>
    <cellStyle name="_TableRowHead_WACC_template_Project Sunflower v25" xfId="2157" xr:uid="{B7C4404C-5BF4-416B-A82F-8A0E3F26128D}"/>
    <cellStyle name="_TableRowHead_WACC_template_Project Sunflower v25_LVGEM project inputs" xfId="2158" xr:uid="{2DB80DCD-B0A2-4146-930C-F8268474D39C}"/>
    <cellStyle name="_TableRowHead_WACC_template_Project Sunflower v25_pelican" xfId="2159" xr:uid="{7C3961BD-1A7E-4BF1-A276-792BAEB8F229}"/>
    <cellStyle name="_TableRowHead_WACC_template_Project Sunflower v25_Pelican - Profit Forecast 3Aug07" xfId="2160" xr:uid="{75C8B3B8-86A5-424C-9B9F-C06D05901F60}"/>
    <cellStyle name="_TableRowHead_WACC_template_Project Sunflower v25_Pelican - Profit Forecast template 11July07_chi" xfId="2161" xr:uid="{4391BFFF-3E10-45E5-BF2C-12A2BA7E9A23}"/>
    <cellStyle name="_TableRowHead_WACC_template_Project Sunflower v25_Pelican - Profit Forecast template 29July07" xfId="2162" xr:uid="{AEDBA1EB-A04E-4D7B-B34E-75046BE785EE}"/>
    <cellStyle name="_TableRowHead_WACC_template_Project Sunflower v25_Pelican - Profit Forecast template 30July07" xfId="2163" xr:uid="{BCB974F8-855B-4A2D-8074-1024730D8195}"/>
    <cellStyle name="_TableRowHead_WACC_template_Project Sunflower v25_pelican.xls" xfId="2164" xr:uid="{681B870E-3E8A-497B-B289-802D4BCD63ED}"/>
    <cellStyle name="_TableRowHeading" xfId="2165" xr:uid="{F52F48FA-C04C-4BA9-A3BD-3EC93DD416E5}"/>
    <cellStyle name="_TableRowHeading_LVGEM project inputs" xfId="2166" xr:uid="{F7820804-EB02-40D8-9059-B7BB10AEF7E5}"/>
    <cellStyle name="_TableRowHeading_pelican" xfId="2167" xr:uid="{B4D6E943-51E2-4695-8B40-5E5EF4F9E625}"/>
    <cellStyle name="_TableRowHeading_Pelican - Profit Forecast 3Aug07" xfId="2168" xr:uid="{277AFAA2-0778-4E94-B257-897F7AE130AE}"/>
    <cellStyle name="_TableRowHeading_Pelican - Profit Forecast template 11July07_chi" xfId="2169" xr:uid="{C35B3FA8-5F04-4B08-A685-0E1B6C980615}"/>
    <cellStyle name="_TableRowHeading_Pelican - Profit Forecast template 29July07" xfId="2170" xr:uid="{D8B58B3F-1BE3-4069-9C59-8C3854C638EA}"/>
    <cellStyle name="_TableRowHeading_Pelican - Profit Forecast template 30July07" xfId="2171" xr:uid="{644B1464-1CC9-4258-AA14-DB2318FFA66C}"/>
    <cellStyle name="_TableRowHeading_pelican.xls" xfId="2172" xr:uid="{C2A9DB0F-22DF-4908-AE9E-9BDB90695807}"/>
    <cellStyle name="_TableRowHeading_Project Sunflower v24" xfId="2173" xr:uid="{A5E1002D-CA07-4EF2-B48F-299BB50421FA}"/>
    <cellStyle name="_TableRowHeading_Project Sunflower v24_LVGEM project inputs" xfId="2174" xr:uid="{C47F7F41-442A-4FAF-847D-6D33BA668FFB}"/>
    <cellStyle name="_TableRowHeading_Project Sunflower v24_pelican" xfId="2175" xr:uid="{53AEFF0D-3673-4557-A487-29DE604F877C}"/>
    <cellStyle name="_TableRowHeading_Project Sunflower v24_Pelican - Profit Forecast 3Aug07" xfId="2176" xr:uid="{48B5EDB8-AAE6-4E88-9F94-2E2349D62CE7}"/>
    <cellStyle name="_TableRowHeading_Project Sunflower v24_Pelican - Profit Forecast template 11July07_chi" xfId="2177" xr:uid="{30DD4831-4301-4AF2-A109-CA3A1C400660}"/>
    <cellStyle name="_TableRowHeading_Project Sunflower v24_Pelican - Profit Forecast template 29July07" xfId="2178" xr:uid="{33F2CF74-5DE6-42B8-B063-4837769338E4}"/>
    <cellStyle name="_TableRowHeading_Project Sunflower v24_Pelican - Profit Forecast template 30July07" xfId="2179" xr:uid="{4F7F3F12-1605-4A47-9CC7-8AF300110381}"/>
    <cellStyle name="_TableRowHeading_Project Sunflower v24_pelican.xls" xfId="2180" xr:uid="{CF8E4110-D4DF-42DB-87B1-884B693A48E2}"/>
    <cellStyle name="_TableRowHeading_Project Sunflower v25" xfId="2181" xr:uid="{199EABFE-1977-4F8C-9DFD-EBB515BD4394}"/>
    <cellStyle name="_TableRowHeading_Project Sunflower v25_LVGEM project inputs" xfId="2182" xr:uid="{EBFF5A43-F480-482A-B324-211E51BC86E0}"/>
    <cellStyle name="_TableRowHeading_Project Sunflower v25_pelican" xfId="2183" xr:uid="{1BF1B2F0-EF8F-4217-8CB5-09ADB7C4D009}"/>
    <cellStyle name="_TableRowHeading_Project Sunflower v25_Pelican - Profit Forecast 3Aug07" xfId="2184" xr:uid="{F2712684-DA9B-4387-B741-825F641201B1}"/>
    <cellStyle name="_TableRowHeading_Project Sunflower v25_Pelican - Profit Forecast template 11July07_chi" xfId="2185" xr:uid="{58F117D2-6D2C-4638-B210-5F66B2634DE8}"/>
    <cellStyle name="_TableRowHeading_Project Sunflower v25_Pelican - Profit Forecast template 29July07" xfId="2186" xr:uid="{821A9629-AFD8-47C2-A0A7-E7E2D8A21B57}"/>
    <cellStyle name="_TableRowHeading_Project Sunflower v25_Pelican - Profit Forecast template 30July07" xfId="2187" xr:uid="{24EC0E28-94BF-4B99-B30C-E6A96E4029A4}"/>
    <cellStyle name="_TableRowHeading_Project Sunflower v25_pelican.xls" xfId="2188" xr:uid="{FC48F889-DA44-425F-8AF5-A6278018C565}"/>
    <cellStyle name="_TableSuperHead" xfId="2189" xr:uid="{A6EB8051-A5F0-4E6A-880B-DDB4AAE82DB7}"/>
    <cellStyle name="_TableSuperHead_060224_Pearlshell_DCF_Prelim" xfId="2190" xr:uid="{DA18E006-9D56-4B50-8C07-32AF90D7073B}"/>
    <cellStyle name="_TableSuperHead_060224_Pearlshell_DCF_Prelim_LVGEM project inputs" xfId="2191" xr:uid="{33A3CC79-24B2-4132-B8C1-CE1627CF1D38}"/>
    <cellStyle name="_TableSuperHead_060224_Pearlshell_DCF_Prelim_pelican" xfId="2192" xr:uid="{F984D3B3-673E-4E2F-BEF4-14BFBD6FF427}"/>
    <cellStyle name="_TableSuperHead_060224_Pearlshell_DCF_Prelim_Pelican - Profit Forecast 3Aug07" xfId="2193" xr:uid="{C5ADEF8B-FE86-47EB-9A9E-B9A82938AE64}"/>
    <cellStyle name="_TableSuperHead_060224_Pearlshell_DCF_Prelim_Pelican - Profit Forecast template 11July07_chi" xfId="2194" xr:uid="{15DA3EE4-BCFE-4B4F-8867-B98F2902D75A}"/>
    <cellStyle name="_TableSuperHead_060224_Pearlshell_DCF_Prelim_Pelican - Profit Forecast template 29July07" xfId="2195" xr:uid="{A9C7125D-6F8C-4C78-B4FA-932B36478F11}"/>
    <cellStyle name="_TableSuperHead_060224_Pearlshell_DCF_Prelim_Pelican - Profit Forecast template 30July07" xfId="2196" xr:uid="{2EEB1A5A-E539-4F1C-96B8-8D75F1FDFF77}"/>
    <cellStyle name="_TableSuperHead_060224_Pearlshell_DCF_Prelim_pelican.xls" xfId="2197" xr:uid="{D103DB34-D0EE-47F0-B3DC-BBC55F50CDC6}"/>
    <cellStyle name="_TableSuperHead_060225_Pearlshell_DCF_Prelim_V4" xfId="2198" xr:uid="{CD792D9D-1C0B-46ED-8AA5-8B73A7C1034A}"/>
    <cellStyle name="_TableSuperHead_060225_Pearlshell_DCF_Prelim_V4_LVGEM project inputs" xfId="2199" xr:uid="{67E16A36-F84E-48DF-9CC3-A138FCCD917F}"/>
    <cellStyle name="_TableSuperHead_060225_Pearlshell_DCF_Prelim_V4_pelican" xfId="2200" xr:uid="{432EAFCD-3116-403A-9298-191C8A635299}"/>
    <cellStyle name="_TableSuperHead_060225_Pearlshell_DCF_Prelim_V4_Pelican - Profit Forecast 3Aug07" xfId="2201" xr:uid="{86DCC20A-AEB6-4CE5-A216-BEABF4B58282}"/>
    <cellStyle name="_TableSuperHead_060225_Pearlshell_DCF_Prelim_V4_Pelican - Profit Forecast template 11July07_chi" xfId="2202" xr:uid="{96C600B1-27B8-4B02-9842-5075D8482B18}"/>
    <cellStyle name="_TableSuperHead_060225_Pearlshell_DCF_Prelim_V4_Pelican - Profit Forecast template 29July07" xfId="2203" xr:uid="{CBC2548E-53A4-488D-A187-1DC50F18512C}"/>
    <cellStyle name="_TableSuperHead_060225_Pearlshell_DCF_Prelim_V4_Pelican - Profit Forecast template 30July07" xfId="2204" xr:uid="{AA603973-34B7-43FC-A28B-A352DD11AF53}"/>
    <cellStyle name="_TableSuperHead_060225_Pearlshell_DCF_Prelim_V4_pelican.xls" xfId="2205" xr:uid="{F07E1420-1F10-44DA-AFCD-9F82C144179A}"/>
    <cellStyle name="_TableSuperHead_060225_Pearlshell_DCF_Prelim_V4_Project Sunflower v24" xfId="2206" xr:uid="{8DDEFAB1-0511-4B98-90AD-CD7FC9AD0DE0}"/>
    <cellStyle name="_TableSuperHead_060225_Pearlshell_DCF_Prelim_V4_Project Sunflower v24_LVGEM project inputs" xfId="2207" xr:uid="{746AC9BD-2546-4BF0-AB4E-C65188F4545C}"/>
    <cellStyle name="_TableSuperHead_060225_Pearlshell_DCF_Prelim_V4_Project Sunflower v24_pelican" xfId="2208" xr:uid="{CC683D3A-5D67-4F18-9B4D-CBB06C5140D8}"/>
    <cellStyle name="_TableSuperHead_060225_Pearlshell_DCF_Prelim_V4_Project Sunflower v24_Pelican - Profit Forecast 3Aug07" xfId="2209" xr:uid="{E2878315-2571-4389-96FB-1E73C2EDAC61}"/>
    <cellStyle name="_TableSuperHead_060225_Pearlshell_DCF_Prelim_V4_Project Sunflower v24_Pelican - Profit Forecast template 11July07_chi" xfId="2210" xr:uid="{A22B2130-A54A-4E02-BC33-D9AF09C3B8DE}"/>
    <cellStyle name="_TableSuperHead_060225_Pearlshell_DCF_Prelim_V4_Project Sunflower v24_Pelican - Profit Forecast template 29July07" xfId="2211" xr:uid="{151F6795-1AB5-4150-B6DA-DA705F7D11E2}"/>
    <cellStyle name="_TableSuperHead_060225_Pearlshell_DCF_Prelim_V4_Project Sunflower v24_Pelican - Profit Forecast template 30July07" xfId="2212" xr:uid="{1F632260-08AE-4686-BEE0-EBD9CFE7C95C}"/>
    <cellStyle name="_TableSuperHead_060225_Pearlshell_DCF_Prelim_V4_Project Sunflower v24_pelican.xls" xfId="2213" xr:uid="{9B24591A-183F-4427-AB3F-7EEA03CAE662}"/>
    <cellStyle name="_TableSuperHead_060225_Pearlshell_DCF_Prelim_V4_Project Sunflower v25" xfId="2214" xr:uid="{199676DA-0941-4737-903C-40CBF89E4499}"/>
    <cellStyle name="_TableSuperHead_060225_Pearlshell_DCF_Prelim_V4_Project Sunflower v25_LVGEM project inputs" xfId="2215" xr:uid="{5813D0C6-C95D-42A3-9E44-7500C4111058}"/>
    <cellStyle name="_TableSuperHead_060225_Pearlshell_DCF_Prelim_V4_Project Sunflower v25_pelican" xfId="2216" xr:uid="{E2D26A07-EB1C-48AF-9DC7-B3BEC93F1464}"/>
    <cellStyle name="_TableSuperHead_060225_Pearlshell_DCF_Prelim_V4_Project Sunflower v25_Pelican - Profit Forecast 3Aug07" xfId="2217" xr:uid="{FE675BF0-147E-43C9-BD1A-89F81A489C55}"/>
    <cellStyle name="_TableSuperHead_060225_Pearlshell_DCF_Prelim_V4_Project Sunflower v25_Pelican - Profit Forecast template 11July07_chi" xfId="2218" xr:uid="{C8863047-0FFA-4A39-9784-309FBD70E470}"/>
    <cellStyle name="_TableSuperHead_060225_Pearlshell_DCF_Prelim_V4_Project Sunflower v25_Pelican - Profit Forecast template 29July07" xfId="2219" xr:uid="{BCA99374-C358-4708-8074-0E6D71B25525}"/>
    <cellStyle name="_TableSuperHead_060225_Pearlshell_DCF_Prelim_V4_Project Sunflower v25_Pelican - Profit Forecast template 30July07" xfId="2220" xr:uid="{2F3E044A-0337-4F20-9B71-56EFCF62C4AC}"/>
    <cellStyle name="_TableSuperHead_060225_Pearlshell_DCF_Prelim_V4_Project Sunflower v25_pelican.xls" xfId="2221" xr:uid="{EF31CDCA-8A82-456D-B630-C2D03F3C21D5}"/>
    <cellStyle name="_TableSuperHead_070201_Blog_Model v12" xfId="2222" xr:uid="{8B036E70-400D-44D9-9B07-DC0EEDF9728A}"/>
    <cellStyle name="_TableSuperHead_070201_Blog_Model v12_LVGEM project inputs" xfId="2223" xr:uid="{6E3CB7BD-CA93-4096-9510-571192F2E8FF}"/>
    <cellStyle name="_TableSuperHead_070201_Blog_Model v12_pelican" xfId="2224" xr:uid="{AD6A0220-66B2-41B4-998A-181134FF44FD}"/>
    <cellStyle name="_TableSuperHead_070201_Blog_Model v12_Pelican - Profit Forecast 3Aug07" xfId="2225" xr:uid="{211F21E1-3D0B-4E63-8D96-D6A4EDB90916}"/>
    <cellStyle name="_TableSuperHead_070201_Blog_Model v12_Pelican - Profit Forecast template 11July07_chi" xfId="2226" xr:uid="{EB80D1DA-D103-405B-9AB9-13380007D1C1}"/>
    <cellStyle name="_TableSuperHead_070201_Blog_Model v12_Pelican - Profit Forecast template 29July07" xfId="2227" xr:uid="{0E0ACFEB-A97B-42E9-A543-270DC5CDE69E}"/>
    <cellStyle name="_TableSuperHead_070201_Blog_Model v12_Pelican - Profit Forecast template 30July07" xfId="2228" xr:uid="{52B95ACA-D8F8-4FB0-9FCE-75699EF808EB}"/>
    <cellStyle name="_TableSuperHead_070201_Blog_Model v12_pelican.xls" xfId="2229" xr:uid="{90DEBFD8-5E3B-45F0-8A69-0C28FA7E8A46}"/>
    <cellStyle name="_TableSuperHead_11_26  Project Homerun Model v4_NAV" xfId="2230" xr:uid="{095691C8-39EF-4462-96A2-5E3960FE9EB3}"/>
    <cellStyle name="_TableSuperHead_11_26  Project Homerun Model v4_NAV_LVGEM project inputs" xfId="2231" xr:uid="{A69E9D79-9C77-4288-A7E6-BECEEF4A08D8}"/>
    <cellStyle name="_TableSuperHead_11_26  Project Homerun Model v4_NAV_pelican" xfId="2232" xr:uid="{86BE9E8E-17B8-4D78-96CD-93DFF53E5E5E}"/>
    <cellStyle name="_TableSuperHead_11_26  Project Homerun Model v4_NAV_Pelican - Profit Forecast 3Aug07" xfId="2233" xr:uid="{C665784D-AD2D-4830-9567-0FD1BD5F33BE}"/>
    <cellStyle name="_TableSuperHead_11_26  Project Homerun Model v4_NAV_Pelican - Profit Forecast template 11July07_chi" xfId="2234" xr:uid="{3B956298-692F-45E9-A6FD-C21DC568E8B3}"/>
    <cellStyle name="_TableSuperHead_11_26  Project Homerun Model v4_NAV_Pelican - Profit Forecast template 29July07" xfId="2235" xr:uid="{30F3884A-6CDE-46D9-916E-B5A710EC0CD3}"/>
    <cellStyle name="_TableSuperHead_11_26  Project Homerun Model v4_NAV_Pelican - Profit Forecast template 30July07" xfId="2236" xr:uid="{A2A00C9E-71A4-4326-A747-3713D65BE5F4}"/>
    <cellStyle name="_TableSuperHead_11_26  Project Homerun Model v4_NAV_pelican.xls" xfId="2237" xr:uid="{9832ECF2-3321-46D6-8ACA-4F4CF2FC7B92}"/>
    <cellStyle name="_TableSuperHead_beta" xfId="2238" xr:uid="{EB7ECA0D-83F2-4188-910D-D5C813236D7E}"/>
    <cellStyle name="_TableSuperHead_beta_LVGEM project inputs" xfId="2239" xr:uid="{6DB35F5B-6251-4E91-8E0A-8C911DA3C81D}"/>
    <cellStyle name="_TableSuperHead_beta_pelican" xfId="2240" xr:uid="{31C65F4B-9818-47AE-976B-07E7EB3FBA55}"/>
    <cellStyle name="_TableSuperHead_beta_Pelican - Profit Forecast 3Aug07" xfId="2241" xr:uid="{C758A3A8-4A4F-400E-B6D0-6DE7D70C2868}"/>
    <cellStyle name="_TableSuperHead_beta_Pelican - Profit Forecast template 11July07_chi" xfId="2242" xr:uid="{FE4BBC2A-DA10-467C-9FDD-E67D2F02CF3F}"/>
    <cellStyle name="_TableSuperHead_beta_Pelican - Profit Forecast template 29July07" xfId="2243" xr:uid="{01EA48A1-B3B0-468D-B0D5-AD28A948C01C}"/>
    <cellStyle name="_TableSuperHead_beta_Pelican - Profit Forecast template 30July07" xfId="2244" xr:uid="{CF8B45C9-DC4F-4FB9-A36C-EC948C116A12}"/>
    <cellStyle name="_TableSuperHead_beta_pelican.xls" xfId="2245" xr:uid="{CEE384A8-93FB-4C44-95D7-EBF9A4E637DC}"/>
    <cellStyle name="_TableSuperHead_beta_Project Sunflower v24" xfId="2246" xr:uid="{ABB21030-FEEA-4788-9B58-997CE687053E}"/>
    <cellStyle name="_TableSuperHead_beta_Project Sunflower v24_LVGEM project inputs" xfId="2247" xr:uid="{3BA60FDE-5399-4266-9FBC-B7427A5ABD7D}"/>
    <cellStyle name="_TableSuperHead_beta_Project Sunflower v24_pelican" xfId="2248" xr:uid="{5AB1D1B2-7572-49AF-A1F4-8784B6501A72}"/>
    <cellStyle name="_TableSuperHead_beta_Project Sunflower v24_Pelican - Profit Forecast 3Aug07" xfId="2249" xr:uid="{232A8109-EAFF-498B-B7AC-C6D5C47F642B}"/>
    <cellStyle name="_TableSuperHead_beta_Project Sunflower v24_Pelican - Profit Forecast template 11July07_chi" xfId="2250" xr:uid="{5D73A398-79E5-48CA-971D-11BB17C393E4}"/>
    <cellStyle name="_TableSuperHead_beta_Project Sunflower v24_Pelican - Profit Forecast template 29July07" xfId="2251" xr:uid="{2E8332BB-24E5-457B-97A0-0074C4998E6A}"/>
    <cellStyle name="_TableSuperHead_beta_Project Sunflower v24_Pelican - Profit Forecast template 30July07" xfId="2252" xr:uid="{D884B3E8-A979-4A01-B898-13F60108AA0A}"/>
    <cellStyle name="_TableSuperHead_beta_Project Sunflower v24_pelican.xls" xfId="2253" xr:uid="{D51AAD64-2E51-472C-B52E-1CC78635DBA4}"/>
    <cellStyle name="_TableSuperHead_beta_Project Sunflower v25" xfId="2254" xr:uid="{9ABF5F81-81E5-4135-8EBC-3A213EE26A53}"/>
    <cellStyle name="_TableSuperHead_beta_Project Sunflower v25_LVGEM project inputs" xfId="2255" xr:uid="{D4ACEC8B-5F76-461A-9E09-7E65AA02C1EC}"/>
    <cellStyle name="_TableSuperHead_beta_Project Sunflower v25_pelican" xfId="2256" xr:uid="{88F26A48-93F8-4353-B35A-742B58BF5ABF}"/>
    <cellStyle name="_TableSuperHead_beta_Project Sunflower v25_Pelican - Profit Forecast 3Aug07" xfId="2257" xr:uid="{C930D8D6-DF5C-44B5-B5B4-7C47C4016926}"/>
    <cellStyle name="_TableSuperHead_beta_Project Sunflower v25_Pelican - Profit Forecast template 11July07_chi" xfId="2258" xr:uid="{3CE7DB63-CB54-426E-8D7E-4073B252E32F}"/>
    <cellStyle name="_TableSuperHead_beta_Project Sunflower v25_Pelican - Profit Forecast template 29July07" xfId="2259" xr:uid="{3E820673-1EBC-43FA-8A42-4DCB5A53E2B3}"/>
    <cellStyle name="_TableSuperHead_beta_Project Sunflower v25_Pelican - Profit Forecast template 30July07" xfId="2260" xr:uid="{7E121541-BBC0-4EB5-83AD-103B18436036}"/>
    <cellStyle name="_TableSuperHead_beta_Project Sunflower v25_pelican.xls" xfId="2261" xr:uid="{C4C6AF4B-72ED-4842-80C9-4CF04B137675}"/>
    <cellStyle name="_TableSuperHead_Consolidated Statement of Changes in Equity" xfId="2262" xr:uid="{8AC30E3A-D6DE-449C-97A0-7B04BFE68F77}"/>
    <cellStyle name="_TableSuperHead_Consolidated Statement of Changes in Equity (2)" xfId="2263" xr:uid="{412F3C58-93C4-4EDE-9BDF-C3DAC273F5D2}"/>
    <cellStyle name="_TableSuperHead_Consolidated Statement of Changes in Equity (2)_LVGEM project inputs" xfId="2264" xr:uid="{DDCCBA52-6225-41EF-84CD-74D8358D492E}"/>
    <cellStyle name="_TableSuperHead_Consolidated Statement of Changes in Equity (2)_pelican" xfId="2265" xr:uid="{EC8DD781-A81C-4116-99DD-1E7261947FA0}"/>
    <cellStyle name="_TableSuperHead_Consolidated Statement of Changes in Equity (2)_Pelican - Profit Forecast 3Aug07" xfId="2266" xr:uid="{B8FAF391-B497-4BB0-9695-CAFD66D4BDFF}"/>
    <cellStyle name="_TableSuperHead_Consolidated Statement of Changes in Equity (2)_Pelican - Profit Forecast template 11July07_chi" xfId="2267" xr:uid="{687A091B-BA23-44F6-8B10-85353625898C}"/>
    <cellStyle name="_TableSuperHead_Consolidated Statement of Changes in Equity (2)_Pelican - Profit Forecast template 29July07" xfId="2268" xr:uid="{7F2EBC94-83F8-4D03-9A9B-01F0F9BC807B}"/>
    <cellStyle name="_TableSuperHead_Consolidated Statement of Changes in Equity (2)_Pelican - Profit Forecast template 30July07" xfId="2269" xr:uid="{BADEC4E2-5D70-4A20-85CA-0F2AE10ADBFE}"/>
    <cellStyle name="_TableSuperHead_Consolidated Statement of Changes in Equity (2)_pelican.xls" xfId="2270" xr:uid="{4EAC04AD-A4BD-4C5F-B930-E81411FEFF8F}"/>
    <cellStyle name="_TableSuperHead_Consolidated Statement of Changes in Equity_LVGEM project inputs" xfId="2271" xr:uid="{8CC4EA5B-7A9C-475F-A75A-AFD542D43431}"/>
    <cellStyle name="_TableSuperHead_Consolidated Statement of Changes in Equity_pelican" xfId="2272" xr:uid="{D17D00E8-D941-4A87-B845-C3DF70181AB0}"/>
    <cellStyle name="_TableSuperHead_Consolidated Statement of Changes in Equity_Pelican - Profit Forecast 3Aug07" xfId="2273" xr:uid="{F46EF846-4C86-4AC2-A361-F6669C9D7ADF}"/>
    <cellStyle name="_TableSuperHead_Consolidated Statement of Changes in Equity_Pelican - Profit Forecast template 11July07_chi" xfId="2274" xr:uid="{A8590F23-64B9-43EF-8973-AD5B2673E805}"/>
    <cellStyle name="_TableSuperHead_Consolidated Statement of Changes in Equity_Pelican - Profit Forecast template 29July07" xfId="2275" xr:uid="{32EE7306-2C5F-47BA-86E4-C228CDB61042}"/>
    <cellStyle name="_TableSuperHead_Consolidated Statement of Changes in Equity_Pelican - Profit Forecast template 30July07" xfId="2276" xr:uid="{AC440D22-6816-42B4-B3E8-E03322E7786E}"/>
    <cellStyle name="_TableSuperHead_Consolidated Statement of Changes in Equity_pelican.xls" xfId="2277" xr:uid="{96D6654A-4089-4220-89F2-465A7022C8F6}"/>
    <cellStyle name="_TableSuperHead_dcf" xfId="2278" xr:uid="{9C074911-6A91-4ABA-AD23-1085AF46096B}"/>
    <cellStyle name="_TableSuperHead_DCF Model_v7" xfId="2279" xr:uid="{1476438D-E745-4D1F-8F99-AEB50BB99219}"/>
    <cellStyle name="_TableSuperHead_DCF Model_v7_LVGEM project inputs" xfId="2280" xr:uid="{2CB3CE24-377D-430E-9761-8976D3A84EC7}"/>
    <cellStyle name="_TableSuperHead_DCF Model_v7_pelican" xfId="2281" xr:uid="{712D7AE5-0E3F-4720-83D2-9CCA19B0EF0C}"/>
    <cellStyle name="_TableSuperHead_DCF Model_v7_Pelican - Profit Forecast 3Aug07" xfId="2282" xr:uid="{F681141E-4C28-4CC6-A491-4D4C72AC8D6A}"/>
    <cellStyle name="_TableSuperHead_DCF Model_v7_Pelican - Profit Forecast template 11July07_chi" xfId="2283" xr:uid="{A4523FC4-CE97-4839-ABAC-A61040A3EF52}"/>
    <cellStyle name="_TableSuperHead_DCF Model_v7_Pelican - Profit Forecast template 29July07" xfId="2284" xr:uid="{F460F229-0362-455A-8216-DC161CAEA176}"/>
    <cellStyle name="_TableSuperHead_DCF Model_v7_Pelican - Profit Forecast template 30July07" xfId="2285" xr:uid="{4351A024-B22B-4474-A03F-FD87D871CABB}"/>
    <cellStyle name="_TableSuperHead_DCF Model_v7_pelican.xls" xfId="2286" xr:uid="{DBC862ED-F5FD-407A-B926-16D1E6187350}"/>
    <cellStyle name="_TableSuperHead_DCF Model_v7_Project Sunflower v24" xfId="2287" xr:uid="{65149C6C-1607-4F47-8A90-D8B23D55A246}"/>
    <cellStyle name="_TableSuperHead_DCF Model_v7_Project Sunflower v24_LVGEM project inputs" xfId="2288" xr:uid="{4799FA9A-1E75-4E7E-858A-E9C0F6D0D835}"/>
    <cellStyle name="_TableSuperHead_DCF Model_v7_Project Sunflower v24_pelican" xfId="2289" xr:uid="{7315BC60-A208-4092-8A17-2BA5AD8E190F}"/>
    <cellStyle name="_TableSuperHead_DCF Model_v7_Project Sunflower v24_Pelican - Profit Forecast 3Aug07" xfId="2290" xr:uid="{E9A91074-1B2C-473B-847A-ED25340C0635}"/>
    <cellStyle name="_TableSuperHead_DCF Model_v7_Project Sunflower v24_Pelican - Profit Forecast template 11July07_chi" xfId="2291" xr:uid="{020DDC34-D877-4DCF-8F20-1C87A917A126}"/>
    <cellStyle name="_TableSuperHead_DCF Model_v7_Project Sunflower v24_Pelican - Profit Forecast template 29July07" xfId="2292" xr:uid="{4748BAE1-9F26-4269-8540-D6F19B69F5A3}"/>
    <cellStyle name="_TableSuperHead_DCF Model_v7_Project Sunflower v24_Pelican - Profit Forecast template 30July07" xfId="2293" xr:uid="{F4388652-9B48-455B-B016-CB5228B17C39}"/>
    <cellStyle name="_TableSuperHead_DCF Model_v7_Project Sunflower v24_pelican.xls" xfId="2294" xr:uid="{456EC385-1B4D-4E4F-9F3A-001E8916A94C}"/>
    <cellStyle name="_TableSuperHead_DCF Model_v7_Project Sunflower v25" xfId="2295" xr:uid="{39D3795E-44B0-4659-B886-656CAC4798C4}"/>
    <cellStyle name="_TableSuperHead_DCF Model_v7_Project Sunflower v25_LVGEM project inputs" xfId="2296" xr:uid="{29B1B586-6ED1-47B3-B928-451FF2EA9168}"/>
    <cellStyle name="_TableSuperHead_DCF Model_v7_Project Sunflower v25_pelican" xfId="2297" xr:uid="{E6A3D1F1-E719-4E5F-AAAE-074893F0FD3C}"/>
    <cellStyle name="_TableSuperHead_DCF Model_v7_Project Sunflower v25_Pelican - Profit Forecast 3Aug07" xfId="2298" xr:uid="{1F4C72EF-6E76-4BF9-A83C-9486B942B880}"/>
    <cellStyle name="_TableSuperHead_DCF Model_v7_Project Sunflower v25_Pelican - Profit Forecast template 11July07_chi" xfId="2299" xr:uid="{68C9A612-B359-44B6-868B-70CDDA025FB9}"/>
    <cellStyle name="_TableSuperHead_DCF Model_v7_Project Sunflower v25_Pelican - Profit Forecast template 29July07" xfId="2300" xr:uid="{471EB426-C4CD-46B1-BFAE-690AAC543F32}"/>
    <cellStyle name="_TableSuperHead_DCF Model_v7_Project Sunflower v25_Pelican - Profit Forecast template 30July07" xfId="2301" xr:uid="{5BB53DEC-F39C-4A15-B927-78060EDAA3ED}"/>
    <cellStyle name="_TableSuperHead_DCF Model_v7_Project Sunflower v25_pelican.xls" xfId="2302" xr:uid="{8E9E4171-3680-4170-B1F4-606038C6E17D}"/>
    <cellStyle name="_TableSuperHead_DCF_050422" xfId="2303" xr:uid="{BA474EAC-BDA4-473D-A040-0219024C8140}"/>
    <cellStyle name="_TableSuperHead_DCF_050422_LVGEM project inputs" xfId="2304" xr:uid="{CB5ADA94-DF13-4C2E-A7D6-AB7E85F109DC}"/>
    <cellStyle name="_TableSuperHead_DCF_050422_pelican" xfId="2305" xr:uid="{F56F3BC3-3B66-4B7F-8147-B3C5F83D2670}"/>
    <cellStyle name="_TableSuperHead_DCF_050422_Pelican - Profit Forecast 3Aug07" xfId="2306" xr:uid="{A0683548-C342-4AE3-942C-889E1F2670CE}"/>
    <cellStyle name="_TableSuperHead_DCF_050422_Pelican - Profit Forecast template 11July07_chi" xfId="2307" xr:uid="{427C2B58-2CBB-4C8C-AE2B-0105D8CD659B}"/>
    <cellStyle name="_TableSuperHead_DCF_050422_Pelican - Profit Forecast template 29July07" xfId="2308" xr:uid="{C95C869D-3275-4E9A-9D9A-50438E7C5C7A}"/>
    <cellStyle name="_TableSuperHead_DCF_050422_Pelican - Profit Forecast template 30July07" xfId="2309" xr:uid="{51D24001-7BF1-4348-BCEE-403713EE7F70}"/>
    <cellStyle name="_TableSuperHead_DCF_050422_pelican.xls" xfId="2310" xr:uid="{69F2FE99-6031-478A-8E43-162A8246D214}"/>
    <cellStyle name="_TableSuperHead_DCF_050422_Project Sunflower v24" xfId="2311" xr:uid="{DC901886-E91E-4406-B7A4-5F5358D37C7A}"/>
    <cellStyle name="_TableSuperHead_DCF_050422_Project Sunflower v24_LVGEM project inputs" xfId="2312" xr:uid="{988E5C57-E88F-461D-8B2A-55459A6BCF69}"/>
    <cellStyle name="_TableSuperHead_DCF_050422_Project Sunflower v24_pelican" xfId="2313" xr:uid="{DEA4207B-B433-4863-8E63-7A39D4A8483B}"/>
    <cellStyle name="_TableSuperHead_DCF_050422_Project Sunflower v24_Pelican - Profit Forecast 3Aug07" xfId="2314" xr:uid="{F8CDD7EE-6E54-4ABD-B30C-747C71C0FE8A}"/>
    <cellStyle name="_TableSuperHead_DCF_050422_Project Sunflower v24_Pelican - Profit Forecast template 11July07_chi" xfId="2315" xr:uid="{3C1E22FC-ECB7-4C7A-92B7-86F8C8162D93}"/>
    <cellStyle name="_TableSuperHead_DCF_050422_Project Sunflower v24_Pelican - Profit Forecast template 29July07" xfId="2316" xr:uid="{58519F34-C28F-4CF5-B985-C2E1C7B4662D}"/>
    <cellStyle name="_TableSuperHead_DCF_050422_Project Sunflower v24_Pelican - Profit Forecast template 30July07" xfId="2317" xr:uid="{2144D59C-4136-4624-BFF0-0B6AFF69C09C}"/>
    <cellStyle name="_TableSuperHead_DCF_050422_Project Sunflower v24_pelican.xls" xfId="2318" xr:uid="{C6172C29-E0AC-48A3-8C9A-C8078ED0B238}"/>
    <cellStyle name="_TableSuperHead_DCF_050422_Project Sunflower v25" xfId="2319" xr:uid="{95242C97-6231-4DF6-BDA2-6A9839DDACB5}"/>
    <cellStyle name="_TableSuperHead_DCF_050422_Project Sunflower v25_LVGEM project inputs" xfId="2320" xr:uid="{00CE9EE1-2125-4608-A480-0FC45E9ED02E}"/>
    <cellStyle name="_TableSuperHead_DCF_050422_Project Sunflower v25_pelican" xfId="2321" xr:uid="{C741A512-A4F1-437D-8A60-45D2EDF4AC8C}"/>
    <cellStyle name="_TableSuperHead_DCF_050422_Project Sunflower v25_Pelican - Profit Forecast 3Aug07" xfId="2322" xr:uid="{A444A6A4-96FE-4680-BB32-D5574DC49949}"/>
    <cellStyle name="_TableSuperHead_DCF_050422_Project Sunflower v25_Pelican - Profit Forecast template 11July07_chi" xfId="2323" xr:uid="{0829E60A-3495-4085-91BD-6D2472E833D5}"/>
    <cellStyle name="_TableSuperHead_DCF_050422_Project Sunflower v25_Pelican - Profit Forecast template 29July07" xfId="2324" xr:uid="{D17E04A2-32AD-4DB2-8235-7E768AA451A0}"/>
    <cellStyle name="_TableSuperHead_DCF_050422_Project Sunflower v25_Pelican - Profit Forecast template 30July07" xfId="2325" xr:uid="{B87F01E9-5249-47B5-8BD5-340E40278C6F}"/>
    <cellStyle name="_TableSuperHead_DCF_050422_Project Sunflower v25_pelican.xls" xfId="2326" xr:uid="{B9FECACA-4CA6-457F-BE8B-1F6E50E99FD2}"/>
    <cellStyle name="_TableSuperHead_dcf_LVGEM project inputs" xfId="2327" xr:uid="{446E1CE3-4776-40C1-A41A-0A612F43313A}"/>
    <cellStyle name="_TableSuperHead_dcf_pelican" xfId="2328" xr:uid="{030EA1D3-FDC6-414F-A5D1-BFCDA83549D2}"/>
    <cellStyle name="_TableSuperHead_dcf_Pelican - Profit Forecast 3Aug07" xfId="2329" xr:uid="{3A78411D-D87E-42FB-8B6A-82988E50BF2F}"/>
    <cellStyle name="_TableSuperHead_dcf_Pelican - Profit Forecast template 11July07_chi" xfId="2330" xr:uid="{2DC5BAD8-D9FC-48E1-BCAF-7743DC0B13A2}"/>
    <cellStyle name="_TableSuperHead_dcf_Pelican - Profit Forecast template 29July07" xfId="2331" xr:uid="{85CC8C3E-1092-4B9C-938E-B0935020EA9F}"/>
    <cellStyle name="_TableSuperHead_dcf_Pelican - Profit Forecast template 30July07" xfId="2332" xr:uid="{E36F13C3-EB66-444D-96E8-0578334A2418}"/>
    <cellStyle name="_TableSuperHead_dcf_pelican.xls" xfId="2333" xr:uid="{C65CF193-8709-4369-8F85-0BFFB1C9F035}"/>
    <cellStyle name="_TableSuperHead_dcf_Project Sunflower v24" xfId="2334" xr:uid="{D3F03374-8C0A-4F07-854B-1A829B3C4ACC}"/>
    <cellStyle name="_TableSuperHead_dcf_Project Sunflower v24_LVGEM project inputs" xfId="2335" xr:uid="{AFCD9AAB-62DC-4BC8-8EF5-887E5E8F7B61}"/>
    <cellStyle name="_TableSuperHead_dcf_Project Sunflower v24_pelican" xfId="2336" xr:uid="{FD4B044F-E1CD-4393-810B-AACBB0493646}"/>
    <cellStyle name="_TableSuperHead_dcf_Project Sunflower v24_Pelican - Profit Forecast 3Aug07" xfId="2337" xr:uid="{9CAA82BB-B6C6-4FC4-85F5-63391BE75DEF}"/>
    <cellStyle name="_TableSuperHead_dcf_Project Sunflower v24_Pelican - Profit Forecast template 11July07_chi" xfId="2338" xr:uid="{35A0FF8B-3AC4-4A85-B389-E8D7763A2FFF}"/>
    <cellStyle name="_TableSuperHead_dcf_Project Sunflower v24_Pelican - Profit Forecast template 29July07" xfId="2339" xr:uid="{C5332190-7A6D-4771-ADBE-016F9CF3792E}"/>
    <cellStyle name="_TableSuperHead_dcf_Project Sunflower v24_Pelican - Profit Forecast template 30July07" xfId="2340" xr:uid="{E09BDF20-A07D-4FA0-A544-7D0F00B1ACA6}"/>
    <cellStyle name="_TableSuperHead_dcf_Project Sunflower v24_pelican.xls" xfId="2341" xr:uid="{79E562D6-2154-41ED-A47F-2DFBFDCBE62D}"/>
    <cellStyle name="_TableSuperHead_dcf_Project Sunflower v25" xfId="2342" xr:uid="{78F2EA9E-C7E8-43E0-A265-FBAB94126915}"/>
    <cellStyle name="_TableSuperHead_dcf_Project Sunflower v25_LVGEM project inputs" xfId="2343" xr:uid="{8398442C-7133-41B6-8A90-2918362FA63C}"/>
    <cellStyle name="_TableSuperHead_dcf_Project Sunflower v25_pelican" xfId="2344" xr:uid="{97305E58-520B-4343-BF6A-D50127F49AA9}"/>
    <cellStyle name="_TableSuperHead_dcf_Project Sunflower v25_Pelican - Profit Forecast 3Aug07" xfId="2345" xr:uid="{16CA0127-58EB-422A-A313-0361E484CBB0}"/>
    <cellStyle name="_TableSuperHead_dcf_Project Sunflower v25_Pelican - Profit Forecast template 11July07_chi" xfId="2346" xr:uid="{1A179C85-CEBD-4FAD-89F3-9E5C8AC6ADC4}"/>
    <cellStyle name="_TableSuperHead_dcf_Project Sunflower v25_Pelican - Profit Forecast template 29July07" xfId="2347" xr:uid="{5B7AFEA8-DF37-4F2A-A4AA-EC1F9C1D4264}"/>
    <cellStyle name="_TableSuperHead_dcf_Project Sunflower v25_Pelican - Profit Forecast template 30July07" xfId="2348" xr:uid="{2EC70502-E196-4287-84AE-25AD9F47B09E}"/>
    <cellStyle name="_TableSuperHead_dcf_Project Sunflower v25_pelican.xls" xfId="2349" xr:uid="{197D87FA-EE33-4DE4-AAB3-730BF556D26F}"/>
    <cellStyle name="_TableSuperHead_Financial Model_v13" xfId="2350" xr:uid="{BA198337-5400-4C75-AADA-D0434C113B06}"/>
    <cellStyle name="_TableSuperHead_Financial Model_v13_LVGEM project inputs" xfId="2351" xr:uid="{3ACA4494-41EB-4C24-86E5-4AABAFCB58E7}"/>
    <cellStyle name="_TableSuperHead_Financial Model_v13_pelican" xfId="2352" xr:uid="{3D89475B-F9C7-4547-A169-03D31E083A38}"/>
    <cellStyle name="_TableSuperHead_Financial Model_v13_Pelican - Profit Forecast 3Aug07" xfId="2353" xr:uid="{E95D8C8F-0249-4EDD-86BB-D0EC6D8650E9}"/>
    <cellStyle name="_TableSuperHead_Financial Model_v13_Pelican - Profit Forecast template 11July07_chi" xfId="2354" xr:uid="{ADFF9761-E5BB-4B67-A5CB-9A0ACBE9600B}"/>
    <cellStyle name="_TableSuperHead_Financial Model_v13_Pelican - Profit Forecast template 29July07" xfId="2355" xr:uid="{2F5B99CA-1F46-44C7-BF98-6BE57960730C}"/>
    <cellStyle name="_TableSuperHead_Financial Model_v13_Pelican - Profit Forecast template 30July07" xfId="2356" xr:uid="{6AA8706B-3F5E-43FB-A437-F6E6E7FFBFF6}"/>
    <cellStyle name="_TableSuperHead_Financial Model_v13_pelican.xls" xfId="2357" xr:uid="{2C42FCB5-13EF-4F1D-A826-FF3D5A8793FB}"/>
    <cellStyle name="_TableSuperHead_fund model 5" xfId="2358" xr:uid="{EF196803-EA04-4ECE-A143-8742B09D5C40}"/>
    <cellStyle name="_TableSuperHead_fund model 5_LVGEM project inputs" xfId="2359" xr:uid="{6DB42FDA-D1CD-4CD0-89C4-19F51E7159A2}"/>
    <cellStyle name="_TableSuperHead_fund model 5_pelican" xfId="2360" xr:uid="{E5864802-2258-4504-9A25-9DE5EB53A574}"/>
    <cellStyle name="_TableSuperHead_fund model 5_Pelican - Profit Forecast 3Aug07" xfId="2361" xr:uid="{E3369F3A-AE2C-407A-896D-7DA5AFB2C0CD}"/>
    <cellStyle name="_TableSuperHead_fund model 5_Pelican - Profit Forecast template 11July07_chi" xfId="2362" xr:uid="{153EC0F2-1575-454D-B97A-9094A8DA7083}"/>
    <cellStyle name="_TableSuperHead_fund model 5_Pelican - Profit Forecast template 29July07" xfId="2363" xr:uid="{FCB54EC1-6015-4431-AE29-9334F3823D2D}"/>
    <cellStyle name="_TableSuperHead_fund model 5_Pelican - Profit Forecast template 30July07" xfId="2364" xr:uid="{FFEEAC32-53DD-42D8-A4ED-EF9CAAD2D4EF}"/>
    <cellStyle name="_TableSuperHead_fund model 5_pelican.xls" xfId="2365" xr:uid="{1511524F-85D4-42C4-8D35-923E29F3F442}"/>
    <cellStyle name="_TableSuperHead_Mindray Medical Intl Ltd Consolidated" xfId="2366" xr:uid="{41D8A0C5-C5FA-4470-BFE5-48D376DF2500}"/>
    <cellStyle name="_TableSuperHead_Mindray Medical Intl Ltd Consolidated_LVGEM project inputs" xfId="2367" xr:uid="{39F49079-D584-4307-AE7A-4D385B87E268}"/>
    <cellStyle name="_TableSuperHead_Mindray Medical Intl Ltd Consolidated_pelican" xfId="2368" xr:uid="{0E2F7B78-2181-45F8-8AEB-25DA1F09753E}"/>
    <cellStyle name="_TableSuperHead_Mindray Medical Intl Ltd Consolidated_Pelican - Profit Forecast 3Aug07" xfId="2369" xr:uid="{04591598-4B92-4696-815B-4607E5EF9EE4}"/>
    <cellStyle name="_TableSuperHead_Mindray Medical Intl Ltd Consolidated_Pelican - Profit Forecast template 11July07_chi" xfId="2370" xr:uid="{A72E4C7C-A738-469F-A523-66747948F223}"/>
    <cellStyle name="_TableSuperHead_Mindray Medical Intl Ltd Consolidated_Pelican - Profit Forecast template 29July07" xfId="2371" xr:uid="{C3D76A49-BAEA-4C22-8781-7A3E9446CB7F}"/>
    <cellStyle name="_TableSuperHead_Mindray Medical Intl Ltd Consolidated_Pelican - Profit Forecast template 30July07" xfId="2372" xr:uid="{FE91BD31-655A-4183-9CA9-50DCECF45893}"/>
    <cellStyle name="_TableSuperHead_Mindray Medical Intl Ltd Consolidated_pelican.xls" xfId="2373" xr:uid="{1E11D6BF-9AED-4110-9029-6A84D3EE6378}"/>
    <cellStyle name="_TableSuperHead_Page no-115" xfId="2374" xr:uid="{EC570D75-C083-4315-B6F2-4D1B9A73F172}"/>
    <cellStyle name="_TableSuperHead_Page no-115_LVGEM project inputs" xfId="2375" xr:uid="{02A827D2-B727-4C13-A626-EBE77D11E9CE}"/>
    <cellStyle name="_TableSuperHead_Page no-115_pelican" xfId="2376" xr:uid="{8DE2E384-41C4-4EC2-8DE4-BBEE3E172AB1}"/>
    <cellStyle name="_TableSuperHead_Page no-115_Pelican - Profit Forecast 3Aug07" xfId="2377" xr:uid="{8DA13A7E-7213-4BA0-8A4C-DA293FCD627F}"/>
    <cellStyle name="_TableSuperHead_Page no-115_Pelican - Profit Forecast template 11July07_chi" xfId="2378" xr:uid="{0FB9E7AB-C621-47C7-970F-EBA971E65C18}"/>
    <cellStyle name="_TableSuperHead_Page no-115_Pelican - Profit Forecast template 29July07" xfId="2379" xr:uid="{93A9A25F-BF89-4337-AC27-9F7AF937B47D}"/>
    <cellStyle name="_TableSuperHead_Page no-115_Pelican - Profit Forecast template 30July07" xfId="2380" xr:uid="{2A766F70-43B6-40E9-B6E3-CD203669668B}"/>
    <cellStyle name="_TableSuperHead_Page no-115_pelican.xls" xfId="2381" xr:uid="{3B91648A-672A-4888-A887-10C0EC849D78}"/>
    <cellStyle name="_TableSuperHead_Project Sunflower v26_CommCommFinal_(print)" xfId="2382" xr:uid="{2420847A-2B19-4E46-8C7C-88F733DB558C}"/>
    <cellStyle name="_TableSuperHead_Project Sunflower v26_CommCommFinal_(print)_LVGEM project inputs" xfId="2383" xr:uid="{CC716B91-4918-42D1-ABD8-91847D04FAF8}"/>
    <cellStyle name="_TableSuperHead_Project Sunflower v26_CommCommFinal_(print)_pelican" xfId="2384" xr:uid="{E8D66673-07FB-4863-BD4D-AF3CE482F474}"/>
    <cellStyle name="_TableSuperHead_Project Sunflower v26_CommCommFinal_(print)_Pelican - Profit Forecast 3Aug07" xfId="2385" xr:uid="{2BBBF552-22F8-4A03-9D61-DB36A063DBF4}"/>
    <cellStyle name="_TableSuperHead_Project Sunflower v26_CommCommFinal_(print)_Pelican - Profit Forecast template 11July07_chi" xfId="2386" xr:uid="{5BE584DA-C08C-4538-A9FD-DCC050C4514F}"/>
    <cellStyle name="_TableSuperHead_Project Sunflower v26_CommCommFinal_(print)_Pelican - Profit Forecast template 29July07" xfId="2387" xr:uid="{AD8F35EB-C1C0-4405-8917-F5298037D10A}"/>
    <cellStyle name="_TableSuperHead_Project Sunflower v26_CommCommFinal_(print)_Pelican - Profit Forecast template 30July07" xfId="2388" xr:uid="{F4479E37-C203-450F-ABF1-4F5E9FC17A13}"/>
    <cellStyle name="_TableSuperHead_Project Sunflower v26_CommCommFinal_(print)_pelican.xls" xfId="2389" xr:uid="{4B4FC6E2-6382-4F5A-9880-987B80B29DA7}"/>
    <cellStyle name="_TableSuperHead_Shanghai DCF 13_JV 70%_New B shares_playing 2" xfId="2390" xr:uid="{BA7F58C1-B94A-43C1-8D82-5D5506AB1865}"/>
    <cellStyle name="_TableSuperHead_Shanghai DCF 13_JV 70%_New B shares_playing 2_LVGEM project inputs" xfId="2391" xr:uid="{DA8E8823-3871-482A-A6A8-CB7A823E2B51}"/>
    <cellStyle name="_TableSuperHead_Shanghai DCF 13_JV 70%_New B shares_playing 2_pelican" xfId="2392" xr:uid="{3DA45724-9298-45E5-81E2-AEA9B2753391}"/>
    <cellStyle name="_TableSuperHead_Shanghai DCF 13_JV 70%_New B shares_playing 2_Pelican - Profit Forecast 3Aug07" xfId="2393" xr:uid="{4965E221-5B2D-48F9-8278-2D64D7BA2105}"/>
    <cellStyle name="_TableSuperHead_Shanghai DCF 13_JV 70%_New B shares_playing 2_Pelican - Profit Forecast template 11July07_chi" xfId="2394" xr:uid="{E0DF6792-9939-4D06-A79D-E8FDF601749E}"/>
    <cellStyle name="_TableSuperHead_Shanghai DCF 13_JV 70%_New B shares_playing 2_Pelican - Profit Forecast template 29July07" xfId="2395" xr:uid="{3E8DD474-12E4-4A9E-9410-31C7E103FE79}"/>
    <cellStyle name="_TableSuperHead_Shanghai DCF 13_JV 70%_New B shares_playing 2_Pelican - Profit Forecast template 30July07" xfId="2396" xr:uid="{3CFF1321-B615-432C-8008-7341EED1D925}"/>
    <cellStyle name="_TableSuperHead_Shanghai DCF 13_JV 70%_New B shares_playing 2_pelican.xls" xfId="2397" xr:uid="{BF375BFA-2213-446E-886E-19041974CA1C}"/>
    <cellStyle name="_TableSuperHead_Shanghai DCF 13_JV 70%_New B shares_playing 2_Project Sunflower v24" xfId="2398" xr:uid="{4F7FF462-B51C-46A3-B067-F899CF1C9D7D}"/>
    <cellStyle name="_TableSuperHead_Shanghai DCF 13_JV 70%_New B shares_playing 2_Project Sunflower v24_LVGEM project inputs" xfId="2399" xr:uid="{03CE4BDA-EA01-4745-A50D-B4065D5AF253}"/>
    <cellStyle name="_TableSuperHead_Shanghai DCF 13_JV 70%_New B shares_playing 2_Project Sunflower v24_pelican" xfId="2400" xr:uid="{E4B4BD16-C8EB-4FC3-ABDA-F7FBFF30AFAD}"/>
    <cellStyle name="_TableSuperHead_Shanghai DCF 13_JV 70%_New B shares_playing 2_Project Sunflower v24_Pelican - Profit Forecast 3Aug07" xfId="2401" xr:uid="{C8F0FE91-A371-40C9-8A0D-C837838A9850}"/>
    <cellStyle name="_TableSuperHead_Shanghai DCF 13_JV 70%_New B shares_playing 2_Project Sunflower v24_Pelican - Profit Forecast template 11July07_chi" xfId="2402" xr:uid="{BA927FD2-2247-4342-AE51-B6352A8A9919}"/>
    <cellStyle name="_TableSuperHead_Shanghai DCF 13_JV 70%_New B shares_playing 2_Project Sunflower v24_Pelican - Profit Forecast template 29July07" xfId="2403" xr:uid="{AA1CC944-5B70-4712-90A7-E617F4FD2AB7}"/>
    <cellStyle name="_TableSuperHead_Shanghai DCF 13_JV 70%_New B shares_playing 2_Project Sunflower v24_Pelican - Profit Forecast template 30July07" xfId="2404" xr:uid="{9262CBBD-3A75-4FD0-B435-423D11881946}"/>
    <cellStyle name="_TableSuperHead_Shanghai DCF 13_JV 70%_New B shares_playing 2_Project Sunflower v24_pelican.xls" xfId="2405" xr:uid="{8E6BE468-33DE-43C8-8103-8E30DA8E41F8}"/>
    <cellStyle name="_TableSuperHead_Shanghai DCF 13_JV 70%_New B shares_playing 2_Project Sunflower v25" xfId="2406" xr:uid="{923A5DF6-D801-4AC4-B356-A01F8E00944F}"/>
    <cellStyle name="_TableSuperHead_Shanghai DCF 13_JV 70%_New B shares_playing 2_Project Sunflower v25_LVGEM project inputs" xfId="2407" xr:uid="{B941877C-73AD-499A-8918-EF0725FEB0C4}"/>
    <cellStyle name="_TableSuperHead_Shanghai DCF 13_JV 70%_New B shares_playing 2_Project Sunflower v25_pelican" xfId="2408" xr:uid="{B3D60BB4-BCF7-45F9-BBD9-A05A60E6C0BB}"/>
    <cellStyle name="_TableSuperHead_Shanghai DCF 13_JV 70%_New B shares_playing 2_Project Sunflower v25_Pelican - Profit Forecast 3Aug07" xfId="2409" xr:uid="{78B1093F-0B2A-459A-917E-71DFDC6D53F3}"/>
    <cellStyle name="_TableSuperHead_Shanghai DCF 13_JV 70%_New B shares_playing 2_Project Sunflower v25_Pelican - Profit Forecast template 11July07_chi" xfId="2410" xr:uid="{98734167-53D7-4D15-A395-E3AAB4BB852F}"/>
    <cellStyle name="_TableSuperHead_Shanghai DCF 13_JV 70%_New B shares_playing 2_Project Sunflower v25_Pelican - Profit Forecast template 29July07" xfId="2411" xr:uid="{DC266E1C-CEE2-400E-827E-71DBF2122DB9}"/>
    <cellStyle name="_TableSuperHead_Shanghai DCF 13_JV 70%_New B shares_playing 2_Project Sunflower v25_Pelican - Profit Forecast template 30July07" xfId="2412" xr:uid="{D31A68A1-CA09-4D6E-A1B0-23E661CA2FEF}"/>
    <cellStyle name="_TableSuperHead_Shanghai DCF 13_JV 70%_New B shares_playing 2_Project Sunflower v25_pelican.xls" xfId="2413" xr:uid="{909299D8-1C06-4F3C-9301-47B190484111}"/>
    <cellStyle name="_TableSuperHead_Shimao Valuation Model_v49_BH_Comm Comm_v5" xfId="2414" xr:uid="{920EE76F-26E9-4142-AE5A-91E9BB1ADCDD}"/>
    <cellStyle name="_TableSuperHead_Shimao Valuation Model_v49_BH_Comm Comm_v5_LVGEM project inputs" xfId="2415" xr:uid="{5CB8E457-105B-4CE6-B275-D030DAEC8646}"/>
    <cellStyle name="_TableSuperHead_Shimao Valuation Model_v49_BH_Comm Comm_v5_pelican" xfId="2416" xr:uid="{F3AB8405-1A55-4EFA-8522-1EF6E4A39B88}"/>
    <cellStyle name="_TableSuperHead_Shimao Valuation Model_v49_BH_Comm Comm_v5_Pelican - Profit Forecast 3Aug07" xfId="2417" xr:uid="{8F96A2AD-8D4D-4781-9335-128765002AAD}"/>
    <cellStyle name="_TableSuperHead_Shimao Valuation Model_v49_BH_Comm Comm_v5_Pelican - Profit Forecast template 11July07_chi" xfId="2418" xr:uid="{4FF1079D-567D-4335-8C88-6427DCEED37B}"/>
    <cellStyle name="_TableSuperHead_Shimao Valuation Model_v49_BH_Comm Comm_v5_Pelican - Profit Forecast template 29July07" xfId="2419" xr:uid="{B1541A81-CE17-43F3-82B7-71ECDECD0736}"/>
    <cellStyle name="_TableSuperHead_Shimao Valuation Model_v49_BH_Comm Comm_v5_Pelican - Profit Forecast template 30July07" xfId="2420" xr:uid="{B61DA06D-A199-4139-B4FD-7E9F4A8DB2BF}"/>
    <cellStyle name="_TableSuperHead_Shimao Valuation Model_v49_BH_Comm Comm_v5_pelican.xls" xfId="2421" xr:uid="{95393579-A95A-4106-8598-FF5F9EEB6B9C}"/>
    <cellStyle name="_TableSuperHead_Sinochem DCF version 15" xfId="2422" xr:uid="{D205A490-D0E4-4F14-B1CA-17C73EFF16FC}"/>
    <cellStyle name="_TableSuperHead_Sinochem DCF version 15_LVGEM project inputs" xfId="2423" xr:uid="{7E893FE8-0321-479A-952D-6410F03F1A93}"/>
    <cellStyle name="_TableSuperHead_Sinochem DCF version 15_pelican" xfId="2424" xr:uid="{C39C839E-B229-419B-B8DC-B7CCDE520CBC}"/>
    <cellStyle name="_TableSuperHead_Sinochem DCF version 15_Pelican - Profit Forecast 3Aug07" xfId="2425" xr:uid="{72538C0D-E2E1-45E0-B529-EDAA4D31B6FE}"/>
    <cellStyle name="_TableSuperHead_Sinochem DCF version 15_Pelican - Profit Forecast template 11July07_chi" xfId="2426" xr:uid="{AD7BA433-DE38-47DD-A628-B7A9E7772B63}"/>
    <cellStyle name="_TableSuperHead_Sinochem DCF version 15_Pelican - Profit Forecast template 29July07" xfId="2427" xr:uid="{AC0D371D-56E7-42B2-B24B-8C1B02B55E7D}"/>
    <cellStyle name="_TableSuperHead_Sinochem DCF version 15_Pelican - Profit Forecast template 30July07" xfId="2428" xr:uid="{342D3F67-D276-4DDD-ABA5-C6DD007556C4}"/>
    <cellStyle name="_TableSuperHead_Sinochem DCF version 15_pelican.xls" xfId="2429" xr:uid="{EE6FB6C5-7502-4E1F-A438-9AA8B0AC89C2}"/>
    <cellStyle name="_TableSuperHead_Sinochem DCF version 15_Project Sunflower v24" xfId="2430" xr:uid="{41E13ED7-1FD6-4B40-BF6A-82DD89015AC8}"/>
    <cellStyle name="_TableSuperHead_Sinochem DCF version 15_Project Sunflower v24_LVGEM project inputs" xfId="2431" xr:uid="{9F4614D9-E234-42EA-9285-1197449196F3}"/>
    <cellStyle name="_TableSuperHead_Sinochem DCF version 15_Project Sunflower v24_pelican" xfId="2432" xr:uid="{37A5AEC4-F43E-481F-8AB0-93A1C2A2E832}"/>
    <cellStyle name="_TableSuperHead_Sinochem DCF version 15_Project Sunflower v24_Pelican - Profit Forecast 3Aug07" xfId="2433" xr:uid="{052D2CCB-793F-434A-B896-83E931ED2EB0}"/>
    <cellStyle name="_TableSuperHead_Sinochem DCF version 15_Project Sunflower v24_Pelican - Profit Forecast template 11July07_chi" xfId="2434" xr:uid="{82289EF8-5BD4-44D0-A256-EFFA29C42852}"/>
    <cellStyle name="_TableSuperHead_Sinochem DCF version 15_Project Sunflower v24_Pelican - Profit Forecast template 29July07" xfId="2435" xr:uid="{00DFA652-352E-4C13-B2BF-1152D6297044}"/>
    <cellStyle name="_TableSuperHead_Sinochem DCF version 15_Project Sunflower v24_Pelican - Profit Forecast template 30July07" xfId="2436" xr:uid="{E7AF8C61-F872-4D71-B0B4-C7705634A4EF}"/>
    <cellStyle name="_TableSuperHead_Sinochem DCF version 15_Project Sunflower v24_pelican.xls" xfId="2437" xr:uid="{B2981DFD-C06A-4F89-994D-3C45A33DD4FA}"/>
    <cellStyle name="_TableSuperHead_Sinochem DCF version 15_Project Sunflower v25" xfId="2438" xr:uid="{014687DB-EAFB-4593-9542-7A463A06AD4A}"/>
    <cellStyle name="_TableSuperHead_Sinochem DCF version 15_Project Sunflower v25_LVGEM project inputs" xfId="2439" xr:uid="{1888E07F-D90E-445A-80E6-5046CB83CBB6}"/>
    <cellStyle name="_TableSuperHead_Sinochem DCF version 15_Project Sunflower v25_pelican" xfId="2440" xr:uid="{FB190AA5-4B44-4DBD-AE5F-CA82D53F67D0}"/>
    <cellStyle name="_TableSuperHead_Sinochem DCF version 15_Project Sunflower v25_Pelican - Profit Forecast 3Aug07" xfId="2441" xr:uid="{18B8D914-4D38-4660-828E-54D4A347AC5F}"/>
    <cellStyle name="_TableSuperHead_Sinochem DCF version 15_Project Sunflower v25_Pelican - Profit Forecast template 11July07_chi" xfId="2442" xr:uid="{BF25E125-1B98-45AC-B46B-C8069F68C652}"/>
    <cellStyle name="_TableSuperHead_Sinochem DCF version 15_Project Sunflower v25_Pelican - Profit Forecast template 29July07" xfId="2443" xr:uid="{0DCC5D1A-88D1-4FA2-85DD-40C9A6287C2B}"/>
    <cellStyle name="_TableSuperHead_Sinochem DCF version 15_Project Sunflower v25_Pelican - Profit Forecast template 30July07" xfId="2444" xr:uid="{748DC3C1-71C1-4FE6-8731-EC232EF02F0C}"/>
    <cellStyle name="_TableSuperHead_Sinochem DCF version 15_Project Sunflower v25_pelican.xls" xfId="2445" xr:uid="{0BC6C681-5169-4478-A4BF-827BC50AAC97}"/>
    <cellStyle name="_TableSuperHead_test_PF_Rightway Model_v6_2" xfId="2446" xr:uid="{B3CF58FB-7FC1-4773-A56E-4D42D3E0101B}"/>
    <cellStyle name="_TableSuperHead_test_PF_Rightway Model_v6_2_LVGEM project inputs" xfId="2447" xr:uid="{9E4FC446-B344-4D99-B49F-E25D7F2DB9C4}"/>
    <cellStyle name="_TableSuperHead_test_PF_Rightway Model_v6_2_pelican" xfId="2448" xr:uid="{218D6EEC-9FF8-4F85-AD3F-211E9F351093}"/>
    <cellStyle name="_TableSuperHead_test_PF_Rightway Model_v6_2_Pelican - Profit Forecast 3Aug07" xfId="2449" xr:uid="{1D33BDBE-79C9-442B-AC6C-18946C8DBCEE}"/>
    <cellStyle name="_TableSuperHead_test_PF_Rightway Model_v6_2_Pelican - Profit Forecast template 11July07_chi" xfId="2450" xr:uid="{1E5944B9-1232-40DF-B10E-F1E98070F7A5}"/>
    <cellStyle name="_TableSuperHead_test_PF_Rightway Model_v6_2_Pelican - Profit Forecast template 29July07" xfId="2451" xr:uid="{3F7FB6B5-D1F4-491E-816D-4354DAC139FD}"/>
    <cellStyle name="_TableSuperHead_test_PF_Rightway Model_v6_2_Pelican - Profit Forecast template 30July07" xfId="2452" xr:uid="{3E27AAE6-99AE-49D6-906E-4D665B261E97}"/>
    <cellStyle name="_TableSuperHead_test_PF_Rightway Model_v6_2_pelican.xls" xfId="2453" xr:uid="{7ABF7596-A5B6-4ECB-B43D-53BAC7B0259A}"/>
    <cellStyle name="_TableSuperHead_Transaction-based Valuation of Lynx" xfId="2454" xr:uid="{85B29295-9AC1-46F8-92FB-F3557E8AFB4A}"/>
    <cellStyle name="_TableSuperHead_Transaction-based Valuation of Lynx_LVGEM project inputs" xfId="2455" xr:uid="{51E2B340-F930-4196-98A6-954D3A25A2F8}"/>
    <cellStyle name="_TableSuperHead_Transaction-based Valuation of Lynx_pelican" xfId="2456" xr:uid="{541A5DA1-C834-4AFC-A1DE-5EE79B75D859}"/>
    <cellStyle name="_TableSuperHead_Transaction-based Valuation of Lynx_Pelican - Profit Forecast 3Aug07" xfId="2457" xr:uid="{B509F829-26F4-4760-B214-07AEEC31C867}"/>
    <cellStyle name="_TableSuperHead_Transaction-based Valuation of Lynx_Pelican - Profit Forecast template 11July07_chi" xfId="2458" xr:uid="{9F715205-D442-46A0-9EE8-73E51AC79076}"/>
    <cellStyle name="_TableSuperHead_Transaction-based Valuation of Lynx_Pelican - Profit Forecast template 29July07" xfId="2459" xr:uid="{650C7E81-46E4-48BF-AA31-779DC35D3B73}"/>
    <cellStyle name="_TableSuperHead_Transaction-based Valuation of Lynx_Pelican - Profit Forecast template 30July07" xfId="2460" xr:uid="{E0848F66-0D6B-4BD8-927D-52792B9B50BE}"/>
    <cellStyle name="_TableSuperHead_Transaction-based Valuation of Lynx_pelican.xls" xfId="2461" xr:uid="{4E775D81-0BCA-444F-BC69-86BEC6EBE7AD}"/>
    <cellStyle name="_TableSuperHead_WACC_template" xfId="2462" xr:uid="{6D37DAC6-1568-4682-9AFA-78B011E64B06}"/>
    <cellStyle name="_TableSuperHead_WACC_template_LVGEM project inputs" xfId="2463" xr:uid="{5A34EDDC-5443-4C2A-A354-B8EDE29B9D17}"/>
    <cellStyle name="_TableSuperHead_WACC_template_pelican" xfId="2464" xr:uid="{CD9BFFA9-0CD3-4B36-9232-1E1DCAC2A429}"/>
    <cellStyle name="_TableSuperHead_WACC_template_Pelican - Profit Forecast 3Aug07" xfId="2465" xr:uid="{02021E26-BE9E-44BE-9BF6-7839ADBDA328}"/>
    <cellStyle name="_TableSuperHead_WACC_template_Pelican - Profit Forecast template 11July07_chi" xfId="2466" xr:uid="{5BE3AA66-79E8-426E-BF89-1BBE3ACF81BE}"/>
    <cellStyle name="_TableSuperHead_WACC_template_Pelican - Profit Forecast template 29July07" xfId="2467" xr:uid="{EB7803A2-3910-4244-9CDA-0A41FCE7415F}"/>
    <cellStyle name="_TableSuperHead_WACC_template_Pelican - Profit Forecast template 30July07" xfId="2468" xr:uid="{B8AC26E0-19C1-45EB-BC3D-BEFFF78DD9BD}"/>
    <cellStyle name="_TableSuperHead_WACC_template_pelican.xls" xfId="2469" xr:uid="{88B94F7A-6B4F-4968-8137-2B6118A8269F}"/>
    <cellStyle name="_TableSuperHead_WACC_template_Project Sunflower v24" xfId="2470" xr:uid="{506B9ABC-A957-4F93-A3B4-C3B1E32D6BF5}"/>
    <cellStyle name="_TableSuperHead_WACC_template_Project Sunflower v24_LVGEM project inputs" xfId="2471" xr:uid="{770E1DAD-9B75-4C19-A662-3F39CA23CA63}"/>
    <cellStyle name="_TableSuperHead_WACC_template_Project Sunflower v24_pelican" xfId="2472" xr:uid="{459C2796-962B-4B86-833B-B6BFF7D53374}"/>
    <cellStyle name="_TableSuperHead_WACC_template_Project Sunflower v24_Pelican - Profit Forecast 3Aug07" xfId="2473" xr:uid="{1A7EEEE2-FAD1-40A8-81BF-DEEF4EDBC025}"/>
    <cellStyle name="_TableSuperHead_WACC_template_Project Sunflower v24_Pelican - Profit Forecast template 11July07_chi" xfId="2474" xr:uid="{FBA8635B-9929-4E2F-9B76-34D7CDEDBB84}"/>
    <cellStyle name="_TableSuperHead_WACC_template_Project Sunflower v24_Pelican - Profit Forecast template 29July07" xfId="2475" xr:uid="{51D7F51E-8A6F-40CA-A0BF-0302B22F5F1E}"/>
    <cellStyle name="_TableSuperHead_WACC_template_Project Sunflower v24_Pelican - Profit Forecast template 30July07" xfId="2476" xr:uid="{9611E7C8-73D4-406D-8702-BDFE0A240785}"/>
    <cellStyle name="_TableSuperHead_WACC_template_Project Sunflower v24_pelican.xls" xfId="2477" xr:uid="{A545413A-6238-4F44-AAAF-65CF63FD24AE}"/>
    <cellStyle name="_TableSuperHead_WACC_template_Project Sunflower v25" xfId="2478" xr:uid="{5B614F06-4EB2-4DEF-8FB1-434E7C8C2D61}"/>
    <cellStyle name="_TableSuperHead_WACC_template_Project Sunflower v25_LVGEM project inputs" xfId="2479" xr:uid="{ECE19521-D91C-401D-B5B9-69F220CF9783}"/>
    <cellStyle name="_TableSuperHead_WACC_template_Project Sunflower v25_pelican" xfId="2480" xr:uid="{88EC35F3-DDDE-4D0B-9449-9F447D09C5C1}"/>
    <cellStyle name="_TableSuperHead_WACC_template_Project Sunflower v25_Pelican - Profit Forecast 3Aug07" xfId="2481" xr:uid="{C63719FD-A127-4A28-B2B3-4733B22BBBEB}"/>
    <cellStyle name="_TableSuperHead_WACC_template_Project Sunflower v25_Pelican - Profit Forecast template 11July07_chi" xfId="2482" xr:uid="{A7945DC9-0B55-458E-B1D8-F79074B47867}"/>
    <cellStyle name="_TableSuperHead_WACC_template_Project Sunflower v25_Pelican - Profit Forecast template 29July07" xfId="2483" xr:uid="{B147B192-6F92-4086-BC15-7811F7842772}"/>
    <cellStyle name="_TableSuperHead_WACC_template_Project Sunflower v25_Pelican - Profit Forecast template 30July07" xfId="2484" xr:uid="{9BAC12D2-045E-410E-A4B1-6720998E1D37}"/>
    <cellStyle name="_TableSuperHead_WACC_template_Project Sunflower v25_pelican.xls" xfId="2485" xr:uid="{7DB6AD92-6489-47CC-BD0D-0970D5318BFC}"/>
    <cellStyle name="_TableSuperHeading" xfId="2486" xr:uid="{177B842F-A5E8-44B4-AA34-E2040B3E6860}"/>
    <cellStyle name="_TableSuperHeading_LVGEM project inputs" xfId="2487" xr:uid="{1BE6F03C-4E79-43CD-A4E8-4B8A8E979A1F}"/>
    <cellStyle name="_TableSuperHeading_pelican" xfId="2488" xr:uid="{F6B0B6F1-5AA4-46D2-826E-A1F41EE0F840}"/>
    <cellStyle name="_TableSuperHeading_Pelican - Profit Forecast 3Aug07" xfId="2489" xr:uid="{BDB204A2-3A10-4AE9-BFC8-70A997B91BB0}"/>
    <cellStyle name="_TableSuperHeading_Pelican - Profit Forecast template 11July07_chi" xfId="2490" xr:uid="{EC52D5DD-0EFD-4C28-97C7-6502FDBF2314}"/>
    <cellStyle name="_TableSuperHeading_Pelican - Profit Forecast template 29July07" xfId="2491" xr:uid="{AF93FFF3-7899-45B7-8000-993CEF6FAF45}"/>
    <cellStyle name="_TableSuperHeading_Pelican - Profit Forecast template 30July07" xfId="2492" xr:uid="{F48C4B0F-ACEA-4FBD-8D12-46032AD76FCE}"/>
    <cellStyle name="_TableSuperHeading_pelican.xls" xfId="2493" xr:uid="{A211BE31-017E-4C63-AE1E-AE939A31E1DA}"/>
    <cellStyle name="_TableSuperHeading_Project Sunflower v24" xfId="2494" xr:uid="{FA80AC80-F8D3-4511-8F90-2F1453FE4DFF}"/>
    <cellStyle name="_TableSuperHeading_Project Sunflower v24_LVGEM project inputs" xfId="2495" xr:uid="{0E27AC04-F7FB-48C5-9C7A-9F8B0EF4BFF2}"/>
    <cellStyle name="_TableSuperHeading_Project Sunflower v24_pelican" xfId="2496" xr:uid="{161E1B83-612C-47C6-8D76-4D9D4E5E5AA0}"/>
    <cellStyle name="_TableSuperHeading_Project Sunflower v24_Pelican - Profit Forecast 3Aug07" xfId="2497" xr:uid="{675E4DE4-68D5-407B-BBFB-AED39D2F3088}"/>
    <cellStyle name="_TableSuperHeading_Project Sunflower v24_Pelican - Profit Forecast template 11July07_chi" xfId="2498" xr:uid="{86E68973-FEDD-4F39-B4D4-9BC609FB3B78}"/>
    <cellStyle name="_TableSuperHeading_Project Sunflower v24_Pelican - Profit Forecast template 29July07" xfId="2499" xr:uid="{996CB142-6C24-4417-B656-69ACA28B4A20}"/>
    <cellStyle name="_TableSuperHeading_Project Sunflower v24_Pelican - Profit Forecast template 30July07" xfId="2500" xr:uid="{F6F58960-70E2-415C-9074-DDBEAB8AEE18}"/>
    <cellStyle name="_TableSuperHeading_Project Sunflower v24_pelican.xls" xfId="2501" xr:uid="{E4BC8141-8D1A-4D10-AA21-B510DF41CB5F}"/>
    <cellStyle name="_TableSuperHeading_Project Sunflower v25" xfId="2502" xr:uid="{4F3C0095-8914-462A-AF28-54B187075BDC}"/>
    <cellStyle name="_TableSuperHeading_Project Sunflower v25_LVGEM project inputs" xfId="2503" xr:uid="{DB37B5A9-D500-438B-9394-20101F8811AC}"/>
    <cellStyle name="_TableSuperHeading_Project Sunflower v25_pelican" xfId="2504" xr:uid="{4BC39412-55FC-4368-89B6-67D52C3213DB}"/>
    <cellStyle name="_TableSuperHeading_Project Sunflower v25_Pelican - Profit Forecast 3Aug07" xfId="2505" xr:uid="{5CB0FA8B-37FD-4A9B-ABD1-307AD9EB4BF8}"/>
    <cellStyle name="_TableSuperHeading_Project Sunflower v25_Pelican - Profit Forecast template 11July07_chi" xfId="2506" xr:uid="{90BA83D8-C0D1-45B1-B584-5EEA6164EE07}"/>
    <cellStyle name="_TableSuperHeading_Project Sunflower v25_Pelican - Profit Forecast template 29July07" xfId="2507" xr:uid="{CBD978B1-5666-42CB-BB94-C5F4C3EFD027}"/>
    <cellStyle name="_TableSuperHeading_Project Sunflower v25_Pelican - Profit Forecast template 30July07" xfId="2508" xr:uid="{0A9BD931-DFEA-4193-93D4-F5E2CD9770EA}"/>
    <cellStyle name="_TableSuperHeading_Project Sunflower v25_pelican.xls" xfId="2509" xr:uid="{AD47DA83-74E3-4CB3-90DC-F67126710958}"/>
    <cellStyle name="_TableText" xfId="2510" xr:uid="{D7C58DDF-B589-41A0-B4DA-1ED68BB82641}"/>
    <cellStyle name="_TableText_LVGEM project inputs" xfId="2511" xr:uid="{EFB8E94D-4F54-4723-BA81-6C2369EAA426}"/>
    <cellStyle name="_TableText_pelican" xfId="2512" xr:uid="{00F1355A-B018-4A19-A40A-3C20E0AA1909}"/>
    <cellStyle name="_TableText_Pelican - Profit Forecast 3Aug07" xfId="2513" xr:uid="{BE997E54-73A6-4941-BCC5-0963E1F00E24}"/>
    <cellStyle name="_TableText_Pelican - Profit Forecast template 11July07_chi" xfId="2514" xr:uid="{2331265C-A4C6-4789-9DA9-6829FEAC3782}"/>
    <cellStyle name="_TableText_Pelican - Profit Forecast template 29July07" xfId="2515" xr:uid="{5171DC08-A5B3-44BF-A26D-92767F579A68}"/>
    <cellStyle name="_TableText_Pelican - Profit Forecast template 30July07" xfId="2516" xr:uid="{91BA3EFC-2015-4103-AEE0-912B35309D9C}"/>
    <cellStyle name="_TableText_pelican.xls" xfId="2517" xr:uid="{30D33DC9-ADD8-48C6-9130-63F5E0911C3E}"/>
    <cellStyle name="_TableText_Project Sunflower v24" xfId="2518" xr:uid="{919FD55B-32DE-46D1-9CE9-7650B731353F}"/>
    <cellStyle name="_TableText_Project Sunflower v24_LVGEM project inputs" xfId="2519" xr:uid="{A5B56B9C-D869-49AA-912A-3DEE418812C8}"/>
    <cellStyle name="_TableText_Project Sunflower v24_pelican" xfId="2520" xr:uid="{288DA838-585C-4018-8311-7D8B22A947A3}"/>
    <cellStyle name="_TableText_Project Sunflower v24_Pelican - Profit Forecast 3Aug07" xfId="2521" xr:uid="{2CDC568D-8CE2-43E4-B28A-CA4E1F1A70E9}"/>
    <cellStyle name="_TableText_Project Sunflower v24_Pelican - Profit Forecast template 11July07_chi" xfId="2522" xr:uid="{C49EB073-224F-4DB3-9DD3-DEE6137B594E}"/>
    <cellStyle name="_TableText_Project Sunflower v24_Pelican - Profit Forecast template 29July07" xfId="2523" xr:uid="{B3780FA6-A65E-442E-A921-FFB437320EAC}"/>
    <cellStyle name="_TableText_Project Sunflower v24_Pelican - Profit Forecast template 30July07" xfId="2524" xr:uid="{E193C56A-FAAB-424D-9047-BB0F6AA4EBAE}"/>
    <cellStyle name="_TableText_Project Sunflower v24_pelican.xls" xfId="2525" xr:uid="{503718CF-4C98-40DC-B1AA-A82A072FB5EB}"/>
    <cellStyle name="_TableText_Project Sunflower v25" xfId="2526" xr:uid="{317ACC7C-BBD7-4EE9-BC3D-411E46AC677B}"/>
    <cellStyle name="_TableText_Project Sunflower v25_LVGEM project inputs" xfId="2527" xr:uid="{7097469B-6242-4289-98A0-F35514E4DF4E}"/>
    <cellStyle name="_TableText_Project Sunflower v25_pelican" xfId="2528" xr:uid="{61E979D5-B752-4FC7-A8B0-DA757EC49258}"/>
    <cellStyle name="_TableText_Project Sunflower v25_Pelican - Profit Forecast 3Aug07" xfId="2529" xr:uid="{A6DC8041-BBA1-4A09-A40D-F52F574094E4}"/>
    <cellStyle name="_TableText_Project Sunflower v25_Pelican - Profit Forecast template 11July07_chi" xfId="2530" xr:uid="{D1DD958A-D4B6-465A-B473-0559125D3D61}"/>
    <cellStyle name="_TableText_Project Sunflower v25_Pelican - Profit Forecast template 29July07" xfId="2531" xr:uid="{5C9978A9-302C-430A-B3C1-D346D7FD8D14}"/>
    <cellStyle name="_TableText_Project Sunflower v25_Pelican - Profit Forecast template 30July07" xfId="2532" xr:uid="{FC4CEFA8-38B3-49E1-A6DA-E3A36A957F0A}"/>
    <cellStyle name="_TableText_Project Sunflower v25_pelican.xls" xfId="2533" xr:uid="{F80E897B-DC82-48A4-935C-341952B780D5}"/>
    <cellStyle name="_Temp" xfId="2534" xr:uid="{88A06258-1EAD-45E5-A18B-C6CFA2A013FF}"/>
    <cellStyle name="_Temp_LVGEM project inputs" xfId="2535" xr:uid="{5E8A18AB-3C74-4EAB-843D-84A4095BBB59}"/>
    <cellStyle name="_Temp_pelican" xfId="2536" xr:uid="{BDBF688D-8054-4960-94B8-4475085FA110}"/>
    <cellStyle name="_Temp_Pelican - Profit Forecast 3Aug07" xfId="2537" xr:uid="{4B2E5D29-A09D-4918-A097-793B3D41AB0A}"/>
    <cellStyle name="_Temp_Pelican - Profit Forecast template 11July07_chi" xfId="2538" xr:uid="{CEA48CD4-7A5B-4375-9216-655D887DEA18}"/>
    <cellStyle name="_Temp_Pelican - Profit Forecast template 29July07" xfId="2539" xr:uid="{048FFD71-1571-452A-B4C0-CEB9AF7B117F}"/>
    <cellStyle name="_Temp_Pelican - Profit Forecast template 30July07" xfId="2540" xr:uid="{4FFD1FE3-9697-4CB3-9CA6-BF253FB82FBF}"/>
    <cellStyle name="_Temp_pelican.xls" xfId="2541" xr:uid="{05C7039B-A81E-4968-90D0-7C0FFEAD6267}"/>
    <cellStyle name="_Temp_Project Norway model v20 (consolidated cash)" xfId="2542" xr:uid="{D56FA058-6D41-465B-B860-C1EB9795D81D}"/>
    <cellStyle name="_Temp_Project Norway model v20 (consolidated cash)_LVGEM project inputs" xfId="2543" xr:uid="{CB1B5F51-C521-441B-8B8B-64EC68813F6D}"/>
    <cellStyle name="_Temp_Project Norway model v20 (consolidated cash)_pelican" xfId="2544" xr:uid="{9070083F-5CE1-4DBE-AB84-50E4189C32C7}"/>
    <cellStyle name="_Temp_Project Norway model v20 (consolidated cash)_Pelican - Profit Forecast 3Aug07" xfId="2545" xr:uid="{B9CEA1BE-454D-47B8-AD80-E93E17402124}"/>
    <cellStyle name="_Temp_Project Norway model v20 (consolidated cash)_Pelican - Profit Forecast template 11July07_chi" xfId="2546" xr:uid="{E5A24E37-E028-4F13-9FC4-6CE8E58EB3AF}"/>
    <cellStyle name="_Temp_Project Norway model v20 (consolidated cash)_Pelican - Profit Forecast template 29July07" xfId="2547" xr:uid="{6F4CC497-64FB-44C8-ADA0-6587735DE003}"/>
    <cellStyle name="_Temp_Project Norway model v20 (consolidated cash)_Pelican - Profit Forecast template 30July07" xfId="2548" xr:uid="{7F152C83-CEEC-445B-8935-83DBDAECA6C2}"/>
    <cellStyle name="_Temp_Project Norway model v20 (consolidated cash)_pelican.xls" xfId="2549" xr:uid="{F93B75D4-1EFC-4F42-AC1B-BAC29E6A4B3B}"/>
    <cellStyle name="_Temp_Project Norway model v28" xfId="2550" xr:uid="{3908353B-73CB-4BF9-970A-EF3F96D44261}"/>
    <cellStyle name="_Temp_Project Norway model v28_LVGEM project inputs" xfId="2551" xr:uid="{566636FD-F6A7-4B6D-9813-3A6A934BD26C}"/>
    <cellStyle name="_Temp_Project Norway model v28_pelican" xfId="2552" xr:uid="{BF5035D4-79BF-4F9F-8E37-EB6CD7BA26E0}"/>
    <cellStyle name="_Temp_Project Norway model v28_Pelican - Profit Forecast 3Aug07" xfId="2553" xr:uid="{6A7C2ED9-0D98-46D5-85FD-008ACBB97B70}"/>
    <cellStyle name="_Temp_Project Norway model v28_Pelican - Profit Forecast template 11July07_chi" xfId="2554" xr:uid="{3D795891-DF62-4607-8F4E-905C556DD29B}"/>
    <cellStyle name="_Temp_Project Norway model v28_Pelican - Profit Forecast template 29July07" xfId="2555" xr:uid="{3389F1BB-932A-4FFB-A9C4-8235F0963318}"/>
    <cellStyle name="_Temp_Project Norway model v28_Pelican - Profit Forecast template 30July07" xfId="2556" xr:uid="{8B66ED96-313F-476F-9BDA-E462585AE9AD}"/>
    <cellStyle name="_Temp_Project Norway model v28_pelican.xls" xfId="2557" xr:uid="{7972DB34-098C-4AED-9287-644E47ABB35F}"/>
    <cellStyle name="_Temp_Project Norway model v33" xfId="2558" xr:uid="{5007470B-E0E0-4665-A5C0-957EB55003F1}"/>
    <cellStyle name="_Temp_Project Norway model v33_LVGEM project inputs" xfId="2559" xr:uid="{885922E7-4160-478F-8A0D-51C12E7B0625}"/>
    <cellStyle name="_Temp_Project Norway model v33_pelican" xfId="2560" xr:uid="{5E4720FC-919C-4FCE-B7AA-DBE7A55CD0B4}"/>
    <cellStyle name="_Temp_Project Norway model v33_Pelican - Profit Forecast 3Aug07" xfId="2561" xr:uid="{ABB5BC99-2A0E-4506-9B32-2E206E501028}"/>
    <cellStyle name="_Temp_Project Norway model v33_Pelican - Profit Forecast template 11July07_chi" xfId="2562" xr:uid="{BE87A29D-009A-429C-A5D1-4E7835DD1556}"/>
    <cellStyle name="_Temp_Project Norway model v33_Pelican - Profit Forecast template 29July07" xfId="2563" xr:uid="{A89CDFA9-4561-44B9-ACE9-6B21C891ED48}"/>
    <cellStyle name="_Temp_Project Norway model v33_Pelican - Profit Forecast template 30July07" xfId="2564" xr:uid="{0C1011E7-CD52-4430-9CBF-2A2EF87FFD64}"/>
    <cellStyle name="_Temp_Project Norway model v33_pelican.xls" xfId="2565" xr:uid="{F5843312-2394-43CF-96F4-294B34F66B8E}"/>
    <cellStyle name="_Temp_Project Norway model v46" xfId="2566" xr:uid="{102950F7-DD70-4561-8EA8-1696BC5865A8}"/>
    <cellStyle name="_Temp_Project Norway model v46_LVGEM project inputs" xfId="2567" xr:uid="{2646028A-01FA-4565-B513-FD5F5F95C364}"/>
    <cellStyle name="_Temp_Project Norway model v46_pelican" xfId="2568" xr:uid="{2C5DD775-ED71-4AC1-8292-F2E5C778832A}"/>
    <cellStyle name="_Temp_Project Norway model v46_Pelican - Profit Forecast 3Aug07" xfId="2569" xr:uid="{73C8BA4C-C855-47C9-8AAF-B287267A9245}"/>
    <cellStyle name="_Temp_Project Norway model v46_Pelican - Profit Forecast template 11July07_chi" xfId="2570" xr:uid="{78B7D9A4-5756-4A6F-BEDB-16EEAD16AA08}"/>
    <cellStyle name="_Temp_Project Norway model v46_Pelican - Profit Forecast template 29July07" xfId="2571" xr:uid="{C1ED26F6-C774-4645-A494-B99B2A31BBF2}"/>
    <cellStyle name="_Temp_Project Norway model v46_Pelican - Profit Forecast template 30July07" xfId="2572" xr:uid="{82776A25-E9BF-4B73-8337-E9D7F00FD21A}"/>
    <cellStyle name="_Temp_Project Norway model v46_pelican.xls" xfId="2573" xr:uid="{3F44FBB0-6132-46C7-AD1D-2FA22B054661}"/>
    <cellStyle name="_worksheet--SPG-成都2007.1.30" xfId="2574" xr:uid="{23F82AEB-9017-4CCC-BD08-56D70DEE3B1D}"/>
    <cellStyle name="_XVII A  MR 2006 Budget (Part II) (7)" xfId="2575" xr:uid="{987869EC-1F1C-4A4D-97F4-88F4F1997DB5}"/>
    <cellStyle name="_XVII A  MR 2006 Budget (Part II) (8)" xfId="2576" xr:uid="{45F0A3A5-BDC0-422D-8856-68E8B802916D}"/>
    <cellStyle name="_XVII A MR 2006 Budget (Part I) (4)" xfId="2577" xr:uid="{34F7445B-CD06-4CFC-98D3-8803942551BE}"/>
    <cellStyle name="_大连公司09预算11.26" xfId="2578" xr:uid="{FC9E5830-BA68-4AEC-902D-C64EB9981978}"/>
    <cellStyle name="_广州人和投资者台帐_Final" xfId="2579" xr:uid="{9E92E305-A9E6-40FA-B87B-13EBF63E4822}"/>
    <cellStyle name="_广州人和投资者台帐_公司确认" xfId="2580" xr:uid="{11A4F3DF-ABA2-4AA7-A881-C27D8B87904E}"/>
    <cellStyle name="{Comma [0]}" xfId="2581" xr:uid="{BDE6C544-4E1F-4AEF-B336-E867FF49F6B1}"/>
    <cellStyle name="{Comma}" xfId="2582" xr:uid="{0CB29592-FF4A-47B9-AFB8-C2B375A784E2}"/>
    <cellStyle name="{Date}" xfId="2583" xr:uid="{B2FA06D6-D3B3-4090-BE9D-B876F23A8D4F}"/>
    <cellStyle name="{Month}" xfId="2584" xr:uid="{923C69B3-F4EF-46DD-A9D7-F39F8C762CB7}"/>
    <cellStyle name="{Percent}" xfId="2585" xr:uid="{848896A3-B5CB-4EF2-B5AC-408D7A7EF71D}"/>
    <cellStyle name="{Thousand [0]}" xfId="2586" xr:uid="{22A3154C-0C44-441C-84D2-EFEB631A727A}"/>
    <cellStyle name="{Thousand}" xfId="2587" xr:uid="{2DAA477B-85CB-46C6-BCA9-8D22E5E422C3}"/>
    <cellStyle name="{Z'0000(1 dec)}" xfId="2588" xr:uid="{017974DE-2660-48FD-A19C-84ECD45B7A97}"/>
    <cellStyle name="{Z'0000(4 dec)}" xfId="2589" xr:uid="{0F950BCD-F2FA-4767-BF8D-0ADA21671C3B}"/>
    <cellStyle name="|: 获取数据 ..." xfId="2590" xr:uid="{869E298C-CD9B-4823-B0EC-7B9CA15AE2BA}"/>
    <cellStyle name="’Ê‰Ý [0.00]_GE 3 MINIMUM" xfId="2591" xr:uid="{F5634A67-3AA0-4A93-902B-7070AFE24CE3}"/>
    <cellStyle name="’Ê‰Ý_GE 3 MINIMUM" xfId="2592" xr:uid="{519A0526-995F-4431-A055-C4D55E611F7D}"/>
    <cellStyle name="£ BP" xfId="2593" xr:uid="{D78147F2-B290-4E25-A0F9-3AB8364073B4}"/>
    <cellStyle name="£0" xfId="2594" xr:uid="{A2EF4669-32D0-4CDF-92A6-EEBF92067A59}"/>
    <cellStyle name="£1" xfId="2595" xr:uid="{84D42077-A7CA-44E0-9019-A6529F976885}"/>
    <cellStyle name="£2" xfId="2596" xr:uid="{A5CD9190-E54C-4E32-B946-A8ECDF055C5A}"/>
    <cellStyle name="¥ JY" xfId="2597" xr:uid="{DDE3C822-096E-45A3-BE3A-575E3988BDA4}"/>
    <cellStyle name="\" xfId="146" xr:uid="{46D31D3D-F3AE-4FEE-BB21-7E727594C34C}"/>
    <cellStyle name="\_67 SORED Valuation_20070411" xfId="147" xr:uid="{70A92D8C-A505-44FC-BB37-90CEBD8371A6}"/>
    <cellStyle name="\_67 SORED Valuation_20070411 2" xfId="4686" xr:uid="{9DCB616E-2906-4731-A9AC-BB61D5B9239C}"/>
    <cellStyle name="\_67 SORED Valuation_20070411 2 2" xfId="4764" xr:uid="{5B488D7D-B366-4624-82D3-31E6634F114A}"/>
    <cellStyle name="\_bluebirdacdil13" xfId="148" xr:uid="{6A546FA3-BA3F-4E28-B752-178CF2518FC0}"/>
    <cellStyle name="\_ecomps7w" xfId="149" xr:uid="{BED65486-FF54-4D39-B139-DBA3C165C976}"/>
    <cellStyle name="\_ecomps7w_Project Norway model v20 (consolidated cash)" xfId="150" xr:uid="{0693FEE9-08D1-44CB-833A-33434B87916F}"/>
    <cellStyle name="\_ecomps7w_Project Norway model v28" xfId="151" xr:uid="{00390294-97BF-47FB-8899-6F29C323C74C}"/>
    <cellStyle name="\_ecomps7w_Project Norway model v33" xfId="152" xr:uid="{F9426C0C-A4D1-4258-8EE3-06902AA7273B}"/>
    <cellStyle name="\_ecomps7w_Project Norway model v46" xfId="153" xr:uid="{4562E33A-C5EB-4D92-A519-FD74EAC0A21A}"/>
    <cellStyle name="\_equitycomps8" xfId="154" xr:uid="{58A02937-2E2A-41DD-B101-0E88626E0686}"/>
    <cellStyle name="\_equitycomps9" xfId="155" xr:uid="{9E4568BA-76D1-41BA-BE03-6FA8BE688D78}"/>
    <cellStyle name="\_houston Isabel" xfId="156" xr:uid="{D9DB781E-0FB4-4BE0-A38D-2E821C7F1764}"/>
    <cellStyle name="\_hybrid2" xfId="157" xr:uid="{1A5C2B1D-240C-48D6-956B-75B0F67FE652}"/>
    <cellStyle name="\_ITXCcomps" xfId="158" xr:uid="{E9634248-CE61-4218-A19E-DACA0E768555}"/>
    <cellStyle name="\_newcomps16" xfId="159" xr:uid="{B33F0D4F-986F-468B-90AE-CD7EA84795F8}"/>
    <cellStyle name="\_prism dcf (2)" xfId="160" xr:uid="{00E8B7F2-1B14-4F58-B30D-95D88A7E71CC}"/>
    <cellStyle name="\_ravenpitch3" xfId="161" xr:uid="{DB38653F-4E80-4998-B010-9B1A80737B01}"/>
    <cellStyle name="\_ravenpitch3_Project Norway model v20 (consolidated cash)" xfId="162" xr:uid="{6BD1F476-8B6C-4803-A846-49E7665088FA}"/>
    <cellStyle name="\_ravenpitch3_Project Norway model v28" xfId="163" xr:uid="{0D10DC54-8B51-4099-8F59-9A4C3CAFE163}"/>
    <cellStyle name="\_ravenpitch3_Project Norway model v33" xfId="164" xr:uid="{692E7672-A3A6-418D-B313-ADCFE2886334}"/>
    <cellStyle name="\_ravenpitch3_Project Norway model v46" xfId="165" xr:uid="{8D71EF87-7CEC-4F05-AA6B-7E7D575B5D37}"/>
    <cellStyle name="\_ravenpitch32" xfId="166" xr:uid="{595DE90A-EF0B-47D6-8CCD-C2C989BAE310}"/>
    <cellStyle name="\_ravenpitch32_Project Norway model v20 (consolidated cash)" xfId="167" xr:uid="{91EC47F5-0E82-43A6-BC8F-903686A9D8DF}"/>
    <cellStyle name="\_ravenpitch32_Project Norway model v28" xfId="168" xr:uid="{AD816610-D5DC-4000-8F39-DA6A371F5B24}"/>
    <cellStyle name="\_ravenpitch32_Project Norway model v33" xfId="169" xr:uid="{324D8646-089F-40EB-B9F1-63C98C3F1327}"/>
    <cellStyle name="\_ravenpitch32_Project Norway model v46" xfId="170" xr:uid="{EBF64A91-E1DF-43F9-BAF6-4A921863275A}"/>
    <cellStyle name="\_tb_model_19.3" xfId="171" xr:uid="{19F474DB-DA65-4C84-BB73-B0B69554050C}"/>
    <cellStyle name="§Q\?1@" xfId="2598" xr:uid="{C4270EDF-7191-42C6-98E0-6290E8ABE183}"/>
    <cellStyle name="_x0001_·?_x0001_··?" xfId="3595" xr:uid="{F4FD3263-D63D-4744-A6FD-76B262EEFD60}"/>
    <cellStyle name="_x0001_・｢_x0001_・・義" xfId="3596" xr:uid="{83D081DC-FE03-4882-BEC6-666C5A69E144}"/>
    <cellStyle name="•W€_GE 3 MINIMUM" xfId="2599" xr:uid="{597CD7FE-DC0E-4524-844F-37D2C41042EC}"/>
    <cellStyle name="•W_GE 3 MINIMUM" xfId="2600" xr:uid="{FBC5E371-6122-4CB2-9F87-D1C1F2AE931B}"/>
    <cellStyle name="" xfId="2601" xr:uid="{A3C9B8BD-84BF-4AC2-B620-3AED1B251E01}"/>
    <cellStyle name="ËÊ_Kagurazaka Bldg Argus Assumption v2 (01112006)" xfId="3597" xr:uid="{3FBA46F6-4CD4-47C5-AFDE-88C2D321BA7B}"/>
    <cellStyle name="0" xfId="2602" xr:uid="{353E323A-D7A2-454A-9D69-EA782CDF98CA}"/>
    <cellStyle name="0%" xfId="2603" xr:uid="{AAD886CA-6E1B-4138-BD86-87C1E0569BD0}"/>
    <cellStyle name="0,0_x000d__x000a_NA_x000d__x000a_" xfId="2604" xr:uid="{175BFF92-21C2-4AC6-8B44-507F5E2E4DC8}"/>
    <cellStyle name="0,0_x000d__x000a_NA_x000d__x000a_ 2" xfId="2605" xr:uid="{A649FD24-5151-4E3C-A984-C48B060EA965}"/>
    <cellStyle name="0,0_x000d__x000a_NA_x000d__x000a_ 2 2" xfId="4442" xr:uid="{4DA2CB03-31CF-4457-84B6-1C2946EA04A6}"/>
    <cellStyle name="0,0_x000d__x000a_NA_x000d__x000a_ 3" xfId="3598" xr:uid="{8A57BB12-A378-46A3-B311-E2E6D8DEDB2D}"/>
    <cellStyle name="0,0_x000d__x000a_NA_x000d__x000a__Finance Report_LiD_Oct1" xfId="2606" xr:uid="{3253CBE7-7DBD-4951-95C0-93915A05F143}"/>
    <cellStyle name="0.0" xfId="2607" xr:uid="{6D20DAD9-A5D1-43C6-9B86-965D9628643D}"/>
    <cellStyle name="0.0%" xfId="2608" xr:uid="{786A6058-2F7E-4377-9E73-AB31BD3F46B4}"/>
    <cellStyle name="0.00" xfId="2609" xr:uid="{2B5989FA-D9B8-4F94-93CF-5F2CF21C353D}"/>
    <cellStyle name="0.00%" xfId="2610" xr:uid="{9E528B79-0474-4F46-B003-38B992F310FE}"/>
    <cellStyle name="0.0x" xfId="2611" xr:uid="{B35B8400-5C86-4F0C-B357-2B71AB7E2B60}"/>
    <cellStyle name="0.0x 2" xfId="4293" xr:uid="{171AFEBE-ED35-4DCF-B39A-F04A2C68A6B7}"/>
    <cellStyle name="0_Book3" xfId="2612" xr:uid="{5886B68D-BBE4-4636-BAE9-972628C15F20}"/>
    <cellStyle name="0_Bullet Consolidated 19 Nov 2003 v6" xfId="2613" xr:uid="{B5F28E72-01C8-42CF-AD18-AB2BC3818C75}"/>
    <cellStyle name="0_Proforma Model 100701 v.5" xfId="2614" xr:uid="{022C6E67-52C0-46E4-BE7B-9194F1AE698F}"/>
    <cellStyle name="0_Simplified Seine Unimin 16 July" xfId="2615" xr:uid="{DD788D89-C844-4454-B521-60DB93794B99}"/>
    <cellStyle name="1,000" xfId="2616" xr:uid="{7EFC3F6E-63DF-4076-91FE-4183DDE1F238}"/>
    <cellStyle name="1,000x" xfId="2617" xr:uid="{71F2DA0D-AA3B-484C-A49F-45A6A7F3D111}"/>
    <cellStyle name="1,comma" xfId="2618" xr:uid="{6090133C-3BA0-4F73-B33C-1462F91AFF82}"/>
    <cellStyle name="1＋1" xfId="2619" xr:uid="{4CCC8568-AEC5-40D6-9ECA-C00C95094BD4}"/>
    <cellStyle name="1＋1 2" xfId="4443" xr:uid="{B7A968FD-87D5-42F5-A88A-5A64D68428A5}"/>
    <cellStyle name="1Normal" xfId="3599" xr:uid="{A7CF921E-395F-45D9-83D6-41FA40405E90}"/>
    <cellStyle name="1Normal 2" xfId="3564" xr:uid="{1E9F2362-B433-4828-9429-90997ED2EEB8}"/>
    <cellStyle name="20% - アクセント 1" xfId="3600" xr:uid="{234DE658-D6DE-4D84-92BE-7BD7C68592CF}"/>
    <cellStyle name="20% - アクセント 2" xfId="3601" xr:uid="{3192252D-D30A-450A-BCF9-9B121BBE067B}"/>
    <cellStyle name="20% - アクセント 3" xfId="3602" xr:uid="{8E5FAB88-F713-4972-A0D2-1749821BC7CB}"/>
    <cellStyle name="20% - アクセント 4" xfId="3603" xr:uid="{88BDC6E7-90D3-4198-AD57-CE44718EF065}"/>
    <cellStyle name="20% - アクセント 5" xfId="3604" xr:uid="{1D09CF30-CF5D-436C-BD80-8AB382CE2566}"/>
    <cellStyle name="20% - アクセント 6" xfId="3605" xr:uid="{2CFFBC6C-8206-4E4A-8437-BB71ECE33FE0}"/>
    <cellStyle name="20% - 强调文字颜色 1 2" xfId="4444" xr:uid="{62F57332-0779-44BD-B828-208366EA0414}"/>
    <cellStyle name="20% - 强调文字颜色 2 2" xfId="4445" xr:uid="{A0444B3B-49D6-4D4D-B2BE-5FC4D0199BCF}"/>
    <cellStyle name="20% - 强调文字颜色 3 2" xfId="4446" xr:uid="{5DA3EDFD-D0F2-49E1-8568-0396EAF228F0}"/>
    <cellStyle name="20% - 强调文字颜色 4 2" xfId="4447" xr:uid="{1248D16B-924B-4A7E-B50D-75D18E643F44}"/>
    <cellStyle name="20% - 强调文字颜色 5 2" xfId="4448" xr:uid="{8C5D3913-09BC-48C7-A8C1-35669238A5AA}"/>
    <cellStyle name="20% - 强调文字颜色 6 2" xfId="4449" xr:uid="{C2097E72-1C67-4748-83EC-364237EF0FA0}"/>
    <cellStyle name="20% - 輔色1" xfId="2620" xr:uid="{59281180-2E56-4183-A334-C30321CE6B26}"/>
    <cellStyle name="20% - 輔色2" xfId="2621" xr:uid="{676D4C27-4F5C-4414-BA39-FE6D0C05638F}"/>
    <cellStyle name="20% - 輔色3" xfId="2622" xr:uid="{C139DEBB-85AA-47A5-A47A-9E37ED58EEF4}"/>
    <cellStyle name="20% - 輔色4" xfId="2623" xr:uid="{5D70AAAD-6A14-4456-9F60-55C2C2E06510}"/>
    <cellStyle name="20% - 輔色5" xfId="2624" xr:uid="{7B3DDE3E-C784-489F-8932-B898A996ECD1}"/>
    <cellStyle name="20% - 輔色6" xfId="2625" xr:uid="{73924647-7D13-4147-AFBC-8B390D5148B4}"/>
    <cellStyle name="3￡1?_laroux" xfId="2626" xr:uid="{C3423DA9-5346-480A-B441-33A08C1A2A73}"/>
    <cellStyle name="3232" xfId="2627" xr:uid="{1DE76EB7-BC7F-4755-B020-DA76DD3067C8}"/>
    <cellStyle name="40% - アクセント 1" xfId="3606" xr:uid="{45EE7402-FEA9-4F08-B095-73C9C6C02989}"/>
    <cellStyle name="40% - アクセント 2" xfId="3607" xr:uid="{F3AB1E35-DAD7-498D-96F2-7BDDC6B37E21}"/>
    <cellStyle name="40% - アクセント 3" xfId="3608" xr:uid="{E1D476A5-9EBE-41B1-8B79-321436DF2AD6}"/>
    <cellStyle name="40% - アクセント 4" xfId="3609" xr:uid="{76F20981-7318-438F-B5FD-BC8DE2FAB678}"/>
    <cellStyle name="40% - アクセント 5" xfId="3610" xr:uid="{A5C982DD-1683-4621-8BF1-CBC5080F4EBB}"/>
    <cellStyle name="40% - アクセント 6" xfId="3611" xr:uid="{3F415226-4FC0-42BE-954B-5A77D87EB9F0}"/>
    <cellStyle name="40% - 强调文字颜色 1 2" xfId="4450" xr:uid="{E0678FE8-550A-40F8-8288-6027F3138E67}"/>
    <cellStyle name="40% - 强调文字颜色 2 2" xfId="4451" xr:uid="{8785EF11-F1EB-4DC6-B686-4DAC2B06F087}"/>
    <cellStyle name="40% - 强调文字颜色 3 2" xfId="4452" xr:uid="{2E7F5618-E058-44FD-B240-006073EDB4F8}"/>
    <cellStyle name="40% - 强调文字颜色 4 2" xfId="4453" xr:uid="{E203251B-C4A3-4A1C-AC4B-02D0FF0799D8}"/>
    <cellStyle name="40% - 强调文字颜色 5 2" xfId="4454" xr:uid="{2CFFDA74-BDC2-4658-9ADA-C6043A438973}"/>
    <cellStyle name="40% - 强调文字颜色 6 2" xfId="4455" xr:uid="{79118052-716B-4612-9F9F-1EC90455FEE5}"/>
    <cellStyle name="40% - 輔色1" xfId="2628" xr:uid="{CD9827A9-E125-4913-A594-2FB95F3F432F}"/>
    <cellStyle name="40% - 輔色2" xfId="2629" xr:uid="{22840E12-8826-40A0-AE89-B7D15058B6BF}"/>
    <cellStyle name="40% - 輔色3" xfId="2630" xr:uid="{46EAD655-EDBE-41CD-9071-ADDB01390BC5}"/>
    <cellStyle name="40% - 輔色4" xfId="2631" xr:uid="{746417BF-CC5E-4B24-9E1D-2EE779BB8D63}"/>
    <cellStyle name="40% - 輔色5" xfId="2632" xr:uid="{F6C78355-3114-4DC8-BB99-B75538814677}"/>
    <cellStyle name="40% - 輔色6" xfId="2633" xr:uid="{D1C0EBF9-CD2F-4EC3-99D5-0486E0E18037}"/>
    <cellStyle name="60% - アクセント 1" xfId="3612" xr:uid="{20CC473E-E97D-43D1-8E93-005CDA5AA73A}"/>
    <cellStyle name="60% - アクセント 2" xfId="3613" xr:uid="{CA2E39AF-5D84-4E70-BB03-980DE5869C64}"/>
    <cellStyle name="60% - アクセント 3" xfId="3614" xr:uid="{B5E56DE6-B43C-48D6-B30D-FC8A35993F14}"/>
    <cellStyle name="60% - アクセント 4" xfId="3615" xr:uid="{400ED984-5706-4926-934D-2BBF9226C4CE}"/>
    <cellStyle name="60% - アクセント 5" xfId="3616" xr:uid="{596BFA63-39CA-45ED-B5F0-055ECD9138F0}"/>
    <cellStyle name="60% - アクセント 6" xfId="3617" xr:uid="{5B8FF3E3-E27D-4E28-8B44-63715BFC4A44}"/>
    <cellStyle name="60% - 强调文字颜色 1 2" xfId="4456" xr:uid="{861720B5-3647-458A-9355-E7860B85D7A4}"/>
    <cellStyle name="60% - 强调文字颜色 2 2" xfId="4457" xr:uid="{6D10F3C7-362B-4C77-ABA0-702E3D39C8F1}"/>
    <cellStyle name="60% - 强调文字颜色 3 2" xfId="4458" xr:uid="{1BF70C99-FBA2-44E2-B4AF-6DAC299A1C2A}"/>
    <cellStyle name="60% - 强调文字颜色 4 2" xfId="4459" xr:uid="{058F0012-87EC-4AF3-B154-0BA1190152F0}"/>
    <cellStyle name="60% - 强调文字颜色 5 2" xfId="4460" xr:uid="{A96F1AA1-BCDE-4B62-9B34-F975493B2F2D}"/>
    <cellStyle name="60% - 强调文字颜色 6 2" xfId="4461" xr:uid="{C5633254-11C8-416D-925A-44EA464FF95C}"/>
    <cellStyle name="60% - 輔色1" xfId="2634" xr:uid="{6FA0D034-4C43-4C31-A01E-12FCEE6D8A43}"/>
    <cellStyle name="60% - 輔色2" xfId="2635" xr:uid="{786D4C42-37E1-4581-830A-85A99F5AE8EB}"/>
    <cellStyle name="60% - 輔色3" xfId="2636" xr:uid="{FBC9CC1C-1F59-464F-9B68-8DB03CED48D3}"/>
    <cellStyle name="60% - 輔色4" xfId="2637" xr:uid="{A6944F36-7B61-493C-A588-3E33F948D2E9}"/>
    <cellStyle name="60% - 輔色5" xfId="2638" xr:uid="{A3EB5770-E9BE-46E2-8E2C-2D413BD1BC18}"/>
    <cellStyle name="60% - 輔色6" xfId="2639" xr:uid="{6C0511C1-F201-4DBE-AD36-A9BB664600D5}"/>
    <cellStyle name="752131" xfId="2640" xr:uid="{84FD9FBA-8E29-4B38-BDEC-9A5124CC578F}"/>
    <cellStyle name="9" xfId="2641" xr:uid="{B8A2EDED-7DA8-4B11-A165-5249E3DC1342}"/>
    <cellStyle name="A" xfId="3618" xr:uid="{BF8992AC-E1C4-4901-BF31-EA25BF9C586C}"/>
    <cellStyle name="AFE" xfId="2642" xr:uid="{09C497EB-1525-42E6-AFDD-0C2B59B4E04E}"/>
    <cellStyle name="aht" xfId="2643" xr:uid="{7E5BB222-A9EE-4D16-8A6D-CA4A75298022}"/>
    <cellStyle name="Andre's Title" xfId="2644" xr:uid="{F16415C9-55E1-4AA5-BBA6-48B6B053339E}"/>
    <cellStyle name="Arial 10" xfId="2645" xr:uid="{5AE80A5F-5029-4DC9-8FBA-932113615BC7}"/>
    <cellStyle name="Arial 12" xfId="2646" xr:uid="{20CB5876-B713-4593-AA9D-1486C560DA28}"/>
    <cellStyle name="ArialNormal" xfId="2647" xr:uid="{C4E0DFA0-BDDF-446B-AA8D-BB5FAF62A5B9}"/>
    <cellStyle name="ArialNormal 2" xfId="4292" xr:uid="{DC306529-6913-4BDA-932C-B3AF2E79D843}"/>
    <cellStyle name="ArialNormal 3" xfId="4297" xr:uid="{9D66916A-4011-4FE3-80C1-F8E1D6407CA3}"/>
    <cellStyle name="ast" xfId="2648" xr:uid="{8197A563-D00B-41F7-B503-3D95F625B1A4}"/>
    <cellStyle name="ast1" xfId="2649" xr:uid="{C8669400-9AE8-4E22-979E-E87AEF525BCE}"/>
    <cellStyle name="at" xfId="2650" xr:uid="{9A072EAE-4F21-47FE-B842-3E8579891B06}"/>
    <cellStyle name="at 2" xfId="4291" xr:uid="{4B39BD9D-B5EF-4FFD-BA3F-5ACB2EF11505}"/>
    <cellStyle name="b" xfId="2651" xr:uid="{800AFBEE-822F-48C6-B100-BCB7EA2BEE5E}"/>
    <cellStyle name="b$0" xfId="2652" xr:uid="{DAB936BE-93F9-499C-8057-A04FDA233ACC}"/>
    <cellStyle name="b$1" xfId="2653" xr:uid="{9CD6264A-D7B8-495A-B998-4E66CA1B4968}"/>
    <cellStyle name="b$2" xfId="2654" xr:uid="{FA5DE7EE-1BA8-4AA1-9DF8-908F0B454E70}"/>
    <cellStyle name="b%0" xfId="2655" xr:uid="{FB31D75F-AEB2-4798-8744-9DABE4A751DB}"/>
    <cellStyle name="b%1" xfId="2656" xr:uid="{F3AF9B3B-0F9B-4075-984F-E4DABD5F9FA7}"/>
    <cellStyle name="b%2" xfId="2657" xr:uid="{40D22B3D-0710-4153-B752-7FD0C94EA92E}"/>
    <cellStyle name="B&amp;Wbold" xfId="2658" xr:uid="{D084C2B0-A881-40D4-A64F-604BF6639A36}"/>
    <cellStyle name="b£0" xfId="2659" xr:uid="{61646111-1CE3-4814-9D4D-386076E6DFEE}"/>
    <cellStyle name="b£1" xfId="2660" xr:uid="{FC2DE7DD-C4ED-49C9-B2D8-B04AEA75202B}"/>
    <cellStyle name="b£2" xfId="2661" xr:uid="{78BC133D-E12B-4E07-B1F1-87F64058974C}"/>
    <cellStyle name="b0" xfId="2662" xr:uid="{ACC8F606-7E97-481B-9D81-7BDFB6745768}"/>
    <cellStyle name="b09" xfId="2663" xr:uid="{5D0C01A2-57A7-4AC4-A7EB-C07C0F75E8BA}"/>
    <cellStyle name="b1" xfId="2664" xr:uid="{7689343D-0FF3-4988-865A-442F31BA2101}"/>
    <cellStyle name="b2" xfId="2665" xr:uid="{A146E365-4F6F-487C-B0CB-9C5907B58469}"/>
    <cellStyle name="Black" xfId="2666" xr:uid="{87AF4860-2387-45C6-832A-98E2DAACB4DD}"/>
    <cellStyle name="BlackStrike" xfId="2667" xr:uid="{8F7B1D81-0D34-4B5D-B279-D8523BAF3D51}"/>
    <cellStyle name="BlackText" xfId="2668" xr:uid="{8F1C4622-7923-4DB3-BDD6-B977A4F3F3F1}"/>
    <cellStyle name="blank" xfId="2669" xr:uid="{BE45C263-804E-456E-92E3-C9E347C64607}"/>
    <cellStyle name="Blue" xfId="2670" xr:uid="{3DB3BA38-0278-491D-9563-F44E8C502936}"/>
    <cellStyle name="bn0" xfId="2671" xr:uid="{4CFB9FDD-EB86-4F2C-A2ED-595EF4D09E36}"/>
    <cellStyle name="bo" xfId="2672" xr:uid="{B21C3C59-9AFE-474A-8FE4-83E410D877D3}"/>
    <cellStyle name="Body" xfId="2673" xr:uid="{1999ADC4-31CF-4C35-BF5D-A1B5C6A210B4}"/>
    <cellStyle name="Bold/Border" xfId="2674" xr:uid="{23B067AF-C9BF-489C-B4FE-C300AFEBC5A2}"/>
    <cellStyle name="Bold/Border 2" xfId="4290" xr:uid="{53C4561C-7291-4C3D-BC95-22CD79BC099F}"/>
    <cellStyle name="Bold8" xfId="3619" xr:uid="{6B2A7C9A-D5B6-489F-904E-7EBACD1C1015}"/>
    <cellStyle name="BoldText" xfId="2675" xr:uid="{26DC72B3-8F69-44FC-AF8F-CCEC09284C1D}"/>
    <cellStyle name="Border Heavy" xfId="2676" xr:uid="{7B67CD80-9BCA-4FD2-8A1F-227E4A9DA400}"/>
    <cellStyle name="border th" xfId="2677" xr:uid="{86A9190A-2EC5-4604-8C7D-DF190ECF070F}"/>
    <cellStyle name="Border Thin" xfId="2678" xr:uid="{D19652A9-B0AC-4E4C-8D9D-06CFB2947698}"/>
    <cellStyle name="Border Thin 2" xfId="4289" xr:uid="{3F33881B-18AD-46AC-B626-DCEB7BECFDA7}"/>
    <cellStyle name="border think" xfId="2679" xr:uid="{C9EDC5A0-ECFE-4D06-87FB-31EB63A3D811}"/>
    <cellStyle name="borderthin" xfId="2680" xr:uid="{9DDF12D1-0536-4088-95BD-31442D629C4F}"/>
    <cellStyle name="Bottom" xfId="2681" xr:uid="{02337859-613C-4DD2-A538-BE86B35ECC2A}"/>
    <cellStyle name="Bottom 2" xfId="4288" xr:uid="{A764B46C-B519-4D08-8A70-0B32FBCD4A7B}"/>
    <cellStyle name="Bottom Border Line" xfId="2682" xr:uid="{9BCEA15D-97C2-4D07-B335-B32285F8231C}"/>
    <cellStyle name="Bottom Border Line 2" xfId="4287" xr:uid="{403250E9-D9E5-407F-A807-E01058095640}"/>
    <cellStyle name="bout" xfId="2683" xr:uid="{B293100A-2B8A-4528-94A8-E95DCD385A88}"/>
    <cellStyle name="bout 2" xfId="4299" xr:uid="{43E7D6A2-F91D-4D09-B59A-4F5154E963B2}"/>
    <cellStyle name="bout 3" xfId="4296" xr:uid="{FE8E0195-6E2D-423A-A24A-8FAC11BA4DC7}"/>
    <cellStyle name="Brand Default" xfId="2684" xr:uid="{3E6CBFDE-E3D4-4025-A793-F096BC6FE21A}"/>
    <cellStyle name="Brand Subtitle with Underline" xfId="2685" xr:uid="{9698E975-4413-41A8-96B6-2E0DA382CD05}"/>
    <cellStyle name="British Pound" xfId="2686" xr:uid="{6DEB3C96-3956-4208-9C03-7D19950D1D90}"/>
    <cellStyle name="bss0" xfId="2687" xr:uid="{C275E8A9-866F-4DD6-9CF5-1649267BD18E}"/>
    <cellStyle name="bss0 2" xfId="4300" xr:uid="{3E16056F-8654-489C-9CC0-B4E3AD8C34D0}"/>
    <cellStyle name="bss0 3" xfId="4295" xr:uid="{9DBF798E-8D9F-4753-B847-6452DCD16CF5}"/>
    <cellStyle name="bss2" xfId="2688" xr:uid="{05ADAFDE-3D3D-45E6-ABD2-C5DBD495E7BA}"/>
    <cellStyle name="bss2 2" xfId="4301" xr:uid="{BEE1DAFF-13FC-4447-B3B0-26D1E82AFF72}"/>
    <cellStyle name="bss2 2 2" xfId="4716" xr:uid="{A867F5E4-DE72-49E2-A692-632BB53FB55B}"/>
    <cellStyle name="bss2 2 2 2" xfId="4794" xr:uid="{F8621D84-1855-4716-9EF6-EB1193531960}"/>
    <cellStyle name="bss2 3" xfId="4294" xr:uid="{4B2FAF95-5051-4C03-9168-0C3027E4939B}"/>
    <cellStyle name="bss2 3 2" xfId="4715" xr:uid="{DD3899A7-5B14-40FA-B65C-11C55029A08B}"/>
    <cellStyle name="bss2 3 2 2" xfId="4793" xr:uid="{C9310509-02FE-433F-BB60-CE459B2F4CCA}"/>
    <cellStyle name="bss2 4" xfId="4687" xr:uid="{37C21137-6DF4-4F38-BE1C-981E83FB2D31}"/>
    <cellStyle name="bss2 4 2" xfId="4765" xr:uid="{451D277C-EF38-4B90-B397-DE960FF7584F}"/>
    <cellStyle name="bt" xfId="2689" xr:uid="{4482B606-A1CE-4A1E-9DD8-2E7324959478}"/>
    <cellStyle name="bt 2" xfId="4286" xr:uid="{9AD4B633-8314-45C3-BE7C-16C284998E15}"/>
    <cellStyle name="btit" xfId="2690" xr:uid="{ADB05726-02DB-4E9E-AB65-C4D89927D853}"/>
    <cellStyle name="Bullet" xfId="2691" xr:uid="{35ADFA3D-A919-4C36-803D-E48276BED2DA}"/>
    <cellStyle name="Business Description" xfId="2692" xr:uid="{722B54B2-54E6-447D-AD13-776CD373679A}"/>
    <cellStyle name="bx0" xfId="2693" xr:uid="{7283BC18-CE9F-4B4F-A337-88C30045ADAF}"/>
    <cellStyle name="bx1" xfId="2694" xr:uid="{D3F8D176-57FE-4376-A39B-DD917948DFA6}"/>
    <cellStyle name="bx2" xfId="2695" xr:uid="{060AD2D7-5904-43AF-AA62-97518D61C34E}"/>
    <cellStyle name="c" xfId="2696" xr:uid="{6249E98B-67C2-4362-9988-B493DB6B05B3}"/>
    <cellStyle name="c_ad3" xfId="2697" xr:uid="{613CDF1D-BCA6-4767-8E15-AF36631C603F}"/>
    <cellStyle name="c_ad5" xfId="2698" xr:uid="{34167FD8-2577-4A8B-8793-6A054A3BFCB3}"/>
    <cellStyle name="c_asko1" xfId="2699" xr:uid="{E4F00992-059F-45DF-9971-70FD5525AF93}"/>
    <cellStyle name="c_btr_2" xfId="2700" xr:uid="{70E41AB1-5B5A-4C59-8E3B-05CE47464EBB}"/>
    <cellStyle name="c_btr_3" xfId="2701" xr:uid="{1B766C1B-BFA9-4806-9907-1DC3DE6C183C}"/>
    <cellStyle name="c_Grouse+Pelican" xfId="2702" xr:uid="{0DF5CB09-58A7-4172-B391-1134DE355B59}"/>
    <cellStyle name="c_lbo1" xfId="2703" xr:uid="{E1094159-B807-4457-84F4-F6FF5EF03AFC}"/>
    <cellStyle name="c_lbo3" xfId="2704" xr:uid="{3B137442-7ACF-488B-941B-9E632E7A590B}"/>
    <cellStyle name="c_LBO5" xfId="2705" xr:uid="{970243F2-FAF0-49DE-961A-F60789129050}"/>
    <cellStyle name="c_Macros" xfId="2706" xr:uid="{8667FA2B-ABFC-496A-A48A-DA9EE3015A79}"/>
    <cellStyle name="c_Macros (2)" xfId="2707" xr:uid="{C743D974-4062-4D95-9012-92D05F52A47E}"/>
    <cellStyle name="c_Manager (2)" xfId="2708" xr:uid="{29AE5719-7ED2-454A-B1C9-CADC24BB95AC}"/>
    <cellStyle name="c_MobilTel Matav model 18 June 2003 v1 NEW Emilie" xfId="2709" xr:uid="{2E431C08-1105-49CC-BF3A-A0DD670F329A}"/>
    <cellStyle name="c_MobilTel Matav model 18 June 2003 v1 NEW Emilie 2" xfId="4688" xr:uid="{203E3229-05D0-4740-966F-DFA47105F122}"/>
    <cellStyle name="c_MobilTel Matav model 18 June 2003 v1 NEW Emilie 2 2" xfId="4766" xr:uid="{C2B87507-09D2-45AD-B618-D7BE16A47021}"/>
    <cellStyle name="c_model1" xfId="2710" xr:uid="{F6764436-C9DB-4871-99EE-6026673541F2}"/>
    <cellStyle name="c_model6" xfId="2711" xr:uid="{84DBE057-710D-4A04-A3D6-4872537C0767}"/>
    <cellStyle name="c_nav rioja2" xfId="2712" xr:uid="{26E3162B-8A8D-4A07-AA91-10FB51E05A74}"/>
    <cellStyle name="c_nav venus2" xfId="2713" xr:uid="{1CF09950-2E2F-4B4A-AE8A-6360951CC364}"/>
    <cellStyle name="c_saft_1" xfId="2714" xr:uid="{5A024A17-9FD3-42D4-BA9C-5B51D2160641}"/>
    <cellStyle name="c_Valo_Science_1904" xfId="2715" xr:uid="{EF606044-5020-4015-991E-6EF0CA3D1A34}"/>
    <cellStyle name="c_WACC benchmarking" xfId="2716" xr:uid="{63E19582-FEB0-4C0D-9D08-DC5BA7288826}"/>
    <cellStyle name="c_WACC benchmarking 2" xfId="4689" xr:uid="{1769E914-A9E2-4AFF-8637-F95D3BE39286}"/>
    <cellStyle name="c_WACC benchmarking 2 2" xfId="4767" xr:uid="{04086E52-BA4C-440F-8D81-140ABE503373}"/>
    <cellStyle name="c0" xfId="2717" xr:uid="{7FBFA5EC-5D64-4B0F-B951-86A36E140D50}"/>
    <cellStyle name="cach" xfId="2718" xr:uid="{4F9E556C-1FC8-4426-9FD9-DE4AC3E3382D}"/>
    <cellStyle name="Calc Currency (0)" xfId="2719" xr:uid="{845E6D6A-0E09-4702-9C9B-993576975A5B}"/>
    <cellStyle name="Calc Currency (0) 2" xfId="3620" xr:uid="{FE02EB43-FCB7-4983-9F3E-510C6FC82DB1}"/>
    <cellStyle name="Calc Currency (2)" xfId="2720" xr:uid="{F0D4853A-7198-468E-A3A6-4B4494E6DA5F}"/>
    <cellStyle name="Calc Percent (0)" xfId="2721" xr:uid="{FD6D1AA4-EC5E-4B13-B894-A10B786B1C96}"/>
    <cellStyle name="Calc Percent (1)" xfId="2722" xr:uid="{CEF107FD-E9C8-44C3-9E9F-20CB215F85B6}"/>
    <cellStyle name="Calc Percent (2)" xfId="2723" xr:uid="{4A867A8C-E513-4CB8-B87C-8E6B1B5BF9B4}"/>
    <cellStyle name="Calc Units (0)" xfId="2724" xr:uid="{2A2C473B-3B59-40AC-BF25-F0D66B357CF5}"/>
    <cellStyle name="Calc Units (1)" xfId="2725" xr:uid="{FC61C33B-09A8-42E1-B99C-C8045BC25F74}"/>
    <cellStyle name="Calc Units (2)" xfId="2726" xr:uid="{79096887-3217-4242-BEB1-B5560CB4B8F8}"/>
    <cellStyle name="Case" xfId="2727" xr:uid="{21D575A8-7A86-4821-B082-23399643919F}"/>
    <cellStyle name="category" xfId="2728" xr:uid="{62377C0B-10EE-4D83-895A-DE3CEDC2C15C}"/>
    <cellStyle name="CComma" xfId="2729" xr:uid="{8F041D9D-688A-44D7-83C3-1A5DA30E95AF}"/>
    <cellStyle name="CComma (0)" xfId="2730" xr:uid="{DDB91B0F-A9BB-427A-8759-C7AC60D426D0}"/>
    <cellStyle name="CCurrency (0)" xfId="2731" xr:uid="{A360854C-AF52-41EF-A220-3F6B506436E7}"/>
    <cellStyle name="Center Across" xfId="2732" xr:uid="{4DD4F83B-8B5C-4C07-92C7-D0E7D179E08A}"/>
    <cellStyle name="Center Across 2" xfId="4282" xr:uid="{3E09DDE1-D835-492A-B644-71D382622BB9}"/>
    <cellStyle name="Change" xfId="2733" xr:uid="{1F8938B8-ED92-4948-A116-C58F4124B56D}"/>
    <cellStyle name="Change A&amp;ll" xfId="2734" xr:uid="{D46DD2B4-8089-469B-9C7A-5FB924A0F5EA}"/>
    <cellStyle name="Change A&amp;ll 2" xfId="2735" xr:uid="{4468324C-1BB8-40B3-B9AA-550FEAA52D44}"/>
    <cellStyle name="Change A&amp;ll 3" xfId="2736" xr:uid="{3E350179-1775-4B28-91B9-998D296560CC}"/>
    <cellStyle name="Changeable" xfId="2737" xr:uid="{90405107-B3C9-4933-B430-133AEDE1B3FA}"/>
    <cellStyle name="Chart %" xfId="2738" xr:uid="{433569F9-C470-4FC0-B3D9-32414D22BEB6}"/>
    <cellStyle name="Chart % 2" xfId="3550" xr:uid="{373F1864-3F42-452E-ACE7-5BFB2AEF0906}"/>
    <cellStyle name="chart no." xfId="2739" xr:uid="{B0D1323F-33FE-4A71-9D99-8BDF9A3A735C}"/>
    <cellStyle name="chart no. 2" xfId="3551" xr:uid="{0F20FACD-0423-4F79-9BEE-D2DEF3EF2D72}"/>
    <cellStyle name="Chart Title" xfId="2740" xr:uid="{3CF8BB5C-88F4-4F14-B1E8-D1427EC9B795}"/>
    <cellStyle name="Check" xfId="3621" xr:uid="{13049DFA-8A0D-46CC-9BD4-91B215CDA420}"/>
    <cellStyle name="Check2" xfId="3622" xr:uid="{5E986146-3944-4BC9-83D0-79AA26355B5E}"/>
    <cellStyle name="Checksum" xfId="2741" xr:uid="{139CFE46-2A6F-4D21-8A5C-0F5A14BEFAB0}"/>
    <cellStyle name="co" xfId="2742" xr:uid="{CCD8A665-B79F-4808-834A-150CA296596E}"/>
    <cellStyle name="Co. Names" xfId="2743" xr:uid="{04DC7AED-E91B-47EF-A85E-3E619AA3AEB8}"/>
    <cellStyle name="Co. Names - Bold" xfId="2744" xr:uid="{EEDC18D0-9AF3-4017-8B53-8F25A1643C4A}"/>
    <cellStyle name="Co. Names_Break-Up" xfId="2745" xr:uid="{30239F04-08B5-4194-B0F5-D6B8FA53FF56}"/>
    <cellStyle name="co_MobilTel Matav model 18 June 2003 v1 NEW Emilie" xfId="2746" xr:uid="{06D4CB5E-759F-45E0-A056-ABA845F7D550}"/>
    <cellStyle name="COL HEADINGS" xfId="2747" xr:uid="{B86F525E-FEE7-46AF-A2F8-DE36DCE66FD5}"/>
    <cellStyle name="COL HEADINGS 2" xfId="4281" xr:uid="{E04F61DC-9E09-41B8-914E-9674DBDA9756}"/>
    <cellStyle name="Col Heads" xfId="2748" xr:uid="{54643C82-C398-4CE0-9399-01B740CAF979}"/>
    <cellStyle name="Col Heads 2" xfId="4280" xr:uid="{CABF59DE-890E-48B8-826D-6081843C2744}"/>
    <cellStyle name="ColHeading" xfId="2749" xr:uid="{8A640888-4ECE-4C88-B006-5B881DF8A386}"/>
    <cellStyle name="Column Heading" xfId="2750" xr:uid="{F949CD09-9A7F-4B61-B8C7-291B80A9118E}"/>
    <cellStyle name="Column Headings" xfId="2751" xr:uid="{02BFD644-6807-4F66-9BD3-F616E4D551F0}"/>
    <cellStyle name="ColumnAttributeAbovePrompt" xfId="2752" xr:uid="{CC6BD4E4-707D-414D-B775-EEAABE70F119}"/>
    <cellStyle name="ColumnAttributeAbovePrompt 2" xfId="3623" xr:uid="{D5A64FCF-15A4-4819-A6B2-BC39C06A824E}"/>
    <cellStyle name="ColumnAttributePrompt" xfId="2753" xr:uid="{4760DF76-33B7-46AA-810C-8CDA902057CA}"/>
    <cellStyle name="ColumnAttributePrompt 2" xfId="3624" xr:uid="{0496E62C-C09B-44DD-AE57-01FDD6C0371F}"/>
    <cellStyle name="ColumnAttributeValue" xfId="2754" xr:uid="{60A1A99B-BE7C-46F0-8712-128A9CD8AFCD}"/>
    <cellStyle name="ColumnAttributeValue 2" xfId="3625" xr:uid="{706BC065-5899-4231-8481-0FB8B3C98CE6}"/>
    <cellStyle name="ColumnHeading" xfId="3626" xr:uid="{0AD0BCB9-DADE-4F40-B17B-61E9BB4978C4}"/>
    <cellStyle name="ColumnHeadingPrompt" xfId="2755" xr:uid="{EB5FEDB9-083C-4AE9-8F46-A7A1E876B28B}"/>
    <cellStyle name="ColumnHeadingPrompt 2" xfId="3627" xr:uid="{E37D16BE-AF78-4EC6-A44C-B5486980EBB2}"/>
    <cellStyle name="ColumnHeadingValue" xfId="2756" xr:uid="{6DB450E7-9E60-4E63-9F0F-86E3191C59ED}"/>
    <cellStyle name="ColumnHeadingValue 2" xfId="3628" xr:uid="{CB191D9C-DBA6-4EE4-A97F-82924703A0CB}"/>
    <cellStyle name="comam" xfId="2757" xr:uid="{BC1EF22C-E63E-43C0-B9C0-A629EC8C5EEB}"/>
    <cellStyle name="comam 2" xfId="4279" xr:uid="{5301FAF7-266D-495C-8489-B76BC46103F5}"/>
    <cellStyle name="comm" xfId="2758" xr:uid="{E72D56D0-A648-45B3-9A1A-3ADB5425D834}"/>
    <cellStyle name="comm 2" xfId="4302" xr:uid="{264A86EC-8180-49AA-95BE-F5339A712F7F}"/>
    <cellStyle name="Comma  - Style1" xfId="2759" xr:uid="{53574D19-56EB-40E9-9508-0640CEDF5A79}"/>
    <cellStyle name="Comma  - Style1 2" xfId="3629" xr:uid="{82855AC5-7E69-4772-BFCB-E2787744DEA9}"/>
    <cellStyle name="Comma  - Style2" xfId="2760" xr:uid="{F04B1D07-44AA-4F22-B20B-3B1575AB0888}"/>
    <cellStyle name="Comma  - Style2 2" xfId="3630" xr:uid="{DEB23F29-8704-4621-80BA-AA12A1676863}"/>
    <cellStyle name="Comma  - Style3" xfId="2761" xr:uid="{EBD39D8F-D648-4389-BD70-0377B1BF4D3C}"/>
    <cellStyle name="Comma  - Style3 2" xfId="3631" xr:uid="{EAA76003-64AA-492D-9B12-C91ADB5A1B84}"/>
    <cellStyle name="Comma  - Style4" xfId="2762" xr:uid="{335C8712-7495-49D1-B00B-E3FC220544C6}"/>
    <cellStyle name="Comma  - Style4 2" xfId="3632" xr:uid="{C098FFEA-FFD5-49ED-A5F1-E45C0E438BE0}"/>
    <cellStyle name="Comma  - Style5" xfId="2763" xr:uid="{6AEED3C4-3D82-4EF6-A10A-D03D556EC6F2}"/>
    <cellStyle name="Comma  - Style5 2" xfId="3633" xr:uid="{1F9F3109-4C7B-4E79-8696-99233E50E640}"/>
    <cellStyle name="Comma  - Style6" xfId="2764" xr:uid="{EE72A66F-2DC4-41A0-8EC4-D8C5663FF197}"/>
    <cellStyle name="Comma  - Style6 2" xfId="3634" xr:uid="{F2B948E3-5B08-4B3B-9B09-D7D3F6E190B5}"/>
    <cellStyle name="Comma  - Style7" xfId="2765" xr:uid="{2C57846E-E3CE-4F13-9C39-F4F81459BD72}"/>
    <cellStyle name="Comma  - Style7 2" xfId="3635" xr:uid="{54BC5D4A-F73D-4DE0-9DF5-977E7CB30347}"/>
    <cellStyle name="Comma  - Style8" xfId="2766" xr:uid="{FCC1237A-1F94-4705-9B26-C42515126758}"/>
    <cellStyle name="Comma  - Style8 2" xfId="3636" xr:uid="{5E067A46-C233-45A4-84D4-A596BF9350F7}"/>
    <cellStyle name="Comma (1)" xfId="2767" xr:uid="{A43A3E31-32E6-4908-9E12-ECBE6D294588}"/>
    <cellStyle name="Comma [0]" xfId="1" xr:uid="{2D05E303-D654-4115-BEED-CC8156B3D02B}"/>
    <cellStyle name="Comma [0] 2" xfId="3" xr:uid="{00000000-0005-0000-0000-000001000000}"/>
    <cellStyle name="Comma [0] 2 2" xfId="14" xr:uid="{00000000-0005-0000-0000-000002000000}"/>
    <cellStyle name="Comma [0] 2 2 2" xfId="22" xr:uid="{00000000-0005-0000-0000-000003000000}"/>
    <cellStyle name="Comma [0] 2 2 2 2" xfId="54" xr:uid="{00000000-0005-0000-0000-000004000000}"/>
    <cellStyle name="Comma [0] 2 2 2 3" xfId="77" xr:uid="{00000000-0005-0000-0000-000005000000}"/>
    <cellStyle name="Comma [0] 2 2 2 4" xfId="103" xr:uid="{E6A5500B-ED68-47CD-BB30-36DA01BE8EDD}"/>
    <cellStyle name="Comma [0] 2 2 3" xfId="48" xr:uid="{00000000-0005-0000-0000-000006000000}"/>
    <cellStyle name="Comma [0] 2 2 4" xfId="71" xr:uid="{00000000-0005-0000-0000-000007000000}"/>
    <cellStyle name="Comma [0] 2 2 5" xfId="97" xr:uid="{1885E118-EE94-46ED-B04A-6D9841449A79}"/>
    <cellStyle name="Comma [0] 2 3" xfId="19" xr:uid="{00000000-0005-0000-0000-000008000000}"/>
    <cellStyle name="Comma [0] 2 3 2" xfId="51" xr:uid="{00000000-0005-0000-0000-000009000000}"/>
    <cellStyle name="Comma [0] 2 3 3" xfId="74" xr:uid="{00000000-0005-0000-0000-00000A000000}"/>
    <cellStyle name="Comma [0] 2 3 4" xfId="100" xr:uid="{5027A397-452E-43A5-AAA3-A75D0B7758D7}"/>
    <cellStyle name="Comma [0] 2 4" xfId="7" xr:uid="{00000000-0005-0000-0000-00000B000000}"/>
    <cellStyle name="Comma [0] 2 4 2" xfId="45" xr:uid="{00000000-0005-0000-0000-00000C000000}"/>
    <cellStyle name="Comma [0] 2 5" xfId="43" xr:uid="{00000000-0005-0000-0000-00000D000000}"/>
    <cellStyle name="Comma [0] 2 6" xfId="69" xr:uid="{00000000-0005-0000-0000-00000E000000}"/>
    <cellStyle name="Comma [0] 2 7" xfId="94" xr:uid="{8CDED6AD-6E31-4A1B-ACF7-96D98C8E169F}"/>
    <cellStyle name="Comma [0] 2 8" xfId="121" xr:uid="{FE58D3A3-B990-47D2-B90B-3CF8EFC054BC}"/>
    <cellStyle name="Comma [0] 2 9" xfId="2768" xr:uid="{4B3BA5BC-FE02-4B5B-A835-B64707A4AA72}"/>
    <cellStyle name="Comma [0] 3" xfId="2769" xr:uid="{4C33A205-C0EA-4628-8BC9-18CA46C308F3}"/>
    <cellStyle name="Comma [0] 4" xfId="4728" xr:uid="{B0743FF5-6EDA-4916-B192-A1214823A771}"/>
    <cellStyle name="Comma [0] 4 2" xfId="4806" xr:uid="{6146A163-48D4-4F26-815E-E31647386899}"/>
    <cellStyle name="Comma [0] 5" xfId="4763" xr:uid="{44E09E83-D738-45C0-B29B-9377A8E9E56C}"/>
    <cellStyle name="Comma [00]" xfId="2770" xr:uid="{C117C21E-18B0-4C59-BF5E-4BC44E9D2992}"/>
    <cellStyle name="Comma [1]" xfId="2771" xr:uid="{67C84BBC-84B1-4A7B-B994-00E15D6320E7}"/>
    <cellStyle name="Comma [2]" xfId="2772" xr:uid="{78C3C6ED-16CD-41D1-9071-DE999880345A}"/>
    <cellStyle name="Comma 0" xfId="2773" xr:uid="{7483FE26-04F9-4A2D-AD70-7E4E3657B2D9}"/>
    <cellStyle name="Comma 0*" xfId="2774" xr:uid="{5C3133A1-E080-4637-B04A-B92F947C8398}"/>
    <cellStyle name="Comma 0.00" xfId="2775" xr:uid="{18236920-D8DA-4701-8360-0EC72E12AB53}"/>
    <cellStyle name="Comma 0_ALL STARS ACCRET DILUT" xfId="2776" xr:uid="{FB6D76AB-322E-4269-AA86-0B779F390337}"/>
    <cellStyle name="Comma 10 10" xfId="4062" xr:uid="{0A79FF66-C977-4ECE-AAB7-6FE573ACD259}"/>
    <cellStyle name="Comma 10 10 2" xfId="4713" xr:uid="{779905F8-5EC1-45D9-8188-EB1164E7FC77}"/>
    <cellStyle name="Comma 10 10 2 2" xfId="4791" xr:uid="{DE6749A2-8DC2-410C-9861-E9DEF0BCD43D}"/>
    <cellStyle name="Comma 2" xfId="10" xr:uid="{00000000-0005-0000-0000-00000F000000}"/>
    <cellStyle name="Comma 2 2" xfId="15" xr:uid="{00000000-0005-0000-0000-000010000000}"/>
    <cellStyle name="Comma 2 2 2" xfId="23" xr:uid="{00000000-0005-0000-0000-000011000000}"/>
    <cellStyle name="Comma 2 2 2 2" xfId="55" xr:uid="{00000000-0005-0000-0000-000012000000}"/>
    <cellStyle name="Comma 2 2 2 3" xfId="78" xr:uid="{00000000-0005-0000-0000-000013000000}"/>
    <cellStyle name="Comma 2 2 2 4" xfId="104" xr:uid="{85D8DDD6-A28D-4493-863B-E7DFA28C9918}"/>
    <cellStyle name="Comma 2 2 2 5" xfId="3637" xr:uid="{67F8A0EF-2BF0-4304-B537-FABF3755D63C}"/>
    <cellStyle name="Comma 2 2 3" xfId="49" xr:uid="{00000000-0005-0000-0000-000014000000}"/>
    <cellStyle name="Comma 2 2 3 2" xfId="3563" xr:uid="{DB8291F0-74EC-4ABB-8248-9752E9EE6647}"/>
    <cellStyle name="Comma 2 2 4" xfId="72" xr:uid="{00000000-0005-0000-0000-000015000000}"/>
    <cellStyle name="Comma 2 2 4 2" xfId="4768" xr:uid="{9A8B65F7-ADE1-4FE5-8895-A927789FD4EA}"/>
    <cellStyle name="Comma 2 2 4 3" xfId="4690" xr:uid="{89A93DE0-5E42-404B-AF5E-BD063961C546}"/>
    <cellStyle name="Comma 2 2 5" xfId="98" xr:uid="{E583F3E6-AC54-49BE-AD6E-BFA1B7304FCA}"/>
    <cellStyle name="Comma 2 2 6" xfId="2778" xr:uid="{23B945E0-CFFB-4E39-9CA2-375A419DA37F}"/>
    <cellStyle name="Comma 2 3" xfId="46" xr:uid="{00000000-0005-0000-0000-000016000000}"/>
    <cellStyle name="Comma 2 3 2" xfId="2779" xr:uid="{78E52394-8213-4B2C-9D6B-0698CA386E56}"/>
    <cellStyle name="Comma 2 4" xfId="2780" xr:uid="{48E3CDD5-18F3-460B-B525-6DEC157D373B}"/>
    <cellStyle name="Comma 2 4 2" xfId="4691" xr:uid="{BF9CCB11-7694-45D0-9AF1-F393760F208C}"/>
    <cellStyle name="Comma 2 4 2 2" xfId="4769" xr:uid="{C681F2AD-8DA7-4B7D-829F-5C0E09D7DE71}"/>
    <cellStyle name="Comma 2 5" xfId="2777" xr:uid="{247BCDF3-B255-4890-9135-108B62B41D02}"/>
    <cellStyle name="Comma 3" xfId="2781" xr:uid="{48DFB7E3-55FA-4D07-BECF-3FCCA58AA3A1}"/>
    <cellStyle name="Comma 3 2" xfId="2782" xr:uid="{911E3434-7F19-4B94-A6C7-C9ADB7B8C9F2}"/>
    <cellStyle name="Comma 3 2 2" xfId="4693" xr:uid="{1013A25E-9687-4FAC-B074-504AB174504E}"/>
    <cellStyle name="Comma 3 2 2 2" xfId="4771" xr:uid="{DDA4F527-4ECA-45D7-97D9-9A4BE29E2C38}"/>
    <cellStyle name="Comma 3 3" xfId="2783" xr:uid="{C028CE0B-9E11-4513-B40E-A4718175C548}"/>
    <cellStyle name="Comma 3 3 2" xfId="4694" xr:uid="{F50544D8-EC30-470F-A376-49D55E5833E1}"/>
    <cellStyle name="Comma 3 3 2 2" xfId="4772" xr:uid="{7670EC57-6FBA-4FFC-8BA7-8B4E689E66C9}"/>
    <cellStyle name="Comma 3 4" xfId="3638" xr:uid="{E0BAEE2E-AEF0-45E7-AD4E-91E2BC9FA0BB}"/>
    <cellStyle name="Comma 3 4 2" xfId="4332" xr:uid="{165A9AA5-212A-413D-8B07-1522742A556C}"/>
    <cellStyle name="Comma 3 4 2 2" xfId="4494" xr:uid="{118A640E-6C26-4020-A4FF-FF7BC21CDDC5}"/>
    <cellStyle name="Comma 3 4 3" xfId="4493" xr:uid="{C818169B-39B0-4B13-8B41-80374D7E4701}"/>
    <cellStyle name="Comma 3 5" xfId="4692" xr:uid="{2FDB1F76-B6F6-468E-A4A3-A264A1881C92}"/>
    <cellStyle name="Comma 3 5 2" xfId="4770" xr:uid="{57C6EC75-827B-47BB-99BE-C0B31DFC087D}"/>
    <cellStyle name="Comma 30" xfId="91" xr:uid="{00000000-0005-0000-0000-000017000000}"/>
    <cellStyle name="Comma 4" xfId="2784" xr:uid="{C7417BA9-CC97-49EE-8FF1-174EA73F90DF}"/>
    <cellStyle name="Comma 4 2" xfId="3552" xr:uid="{015E1C30-1F12-4EA1-BE47-18AA407E3EF6}"/>
    <cellStyle name="Comma 4 3" xfId="3639" xr:uid="{7C1AD176-9A4D-4CEC-BF4D-4A3D88F082EE}"/>
    <cellStyle name="Comma 5" xfId="2785" xr:uid="{DF41B1F1-1274-4CA0-A449-E368C84B3620}"/>
    <cellStyle name="Comma 6" xfId="2786" xr:uid="{9E28AEDF-299B-4E67-A832-8239A9C6EEF1}"/>
    <cellStyle name="Comma 7" xfId="2787" xr:uid="{04F833BF-8181-4F39-AD5A-6078F982C690}"/>
    <cellStyle name="comma zerodec" xfId="2788" xr:uid="{9A422783-AE56-48A9-9431-1C188B855B4B}"/>
    <cellStyle name="Comma, 1 dec" xfId="2789" xr:uid="{05A36371-FF8B-4152-A4FE-BC9792ECE03D}"/>
    <cellStyle name="Comma,0" xfId="2790" xr:uid="{66FAEDDB-8DEB-4CF5-9EF9-7B1408FAA544}"/>
    <cellStyle name="Comma,1" xfId="2791" xr:uid="{CDBC2BE0-39CC-44B5-A660-19CE9D75E7CB}"/>
    <cellStyle name="Comma,2" xfId="2792" xr:uid="{350CBE67-2D00-4666-9B8A-2CC562B86DB1}"/>
    <cellStyle name="Comma[0]" xfId="2793" xr:uid="{01C6036E-98B0-40E1-9FAE-7916E76C2C70}"/>
    <cellStyle name="Comma[2]" xfId="2794" xr:uid="{833B6F45-1F6E-4EB9-99D4-2F1897E44A32}"/>
    <cellStyle name="Comma0" xfId="2795" xr:uid="{08C37293-C17C-4195-BA20-5C456CA47AC6}"/>
    <cellStyle name="Comma0 - Modelo1" xfId="2796" xr:uid="{C76D7B7C-E3DE-46FA-BC3A-EC72D99CC358}"/>
    <cellStyle name="Comma0 - Style1" xfId="2797" xr:uid="{35DEEB6F-2B0C-493E-A10C-A71AF3B1CC82}"/>
    <cellStyle name="Comma0 - Style1 2" xfId="3553" xr:uid="{43E26D72-6B2C-4C9C-B9D3-51A1F8A0D290}"/>
    <cellStyle name="Comma0_TG Base Case_v1" xfId="2798" xr:uid="{CF8B6795-298C-49A4-AE38-E6CF9AC4ACAF}"/>
    <cellStyle name="Comma1 - Modelo2" xfId="2799" xr:uid="{58987225-DADD-4D8D-AB2E-FB1CEB36C603}"/>
    <cellStyle name="Comma1 - Style2" xfId="2800" xr:uid="{DE2A1B5C-FF1E-44EE-9A67-8E8D4F8BEA6C}"/>
    <cellStyle name="Comma1 - Style2 2" xfId="3554" xr:uid="{CE1995B9-4B07-4623-A086-414A51450F52}"/>
    <cellStyle name="Commam" xfId="2801" xr:uid="{23B82F04-ABED-4B9F-B50B-2854EDE35E97}"/>
    <cellStyle name="Comma-Rounded" xfId="2802" xr:uid="{1CE40B34-E348-40F9-A91A-7EF852F12FC7}"/>
    <cellStyle name="commas" xfId="2803" xr:uid="{F9E8DF04-9018-4BA0-83D9-40AD21B0AB9E}"/>
    <cellStyle name="Company" xfId="2804" xr:uid="{BFB99896-39DC-4B8A-B0AC-714B5D35BF2E}"/>
    <cellStyle name="CompanyName" xfId="2805" xr:uid="{AE0D952C-4925-4340-B4F5-DD985A1F1797}"/>
    <cellStyle name="Copied" xfId="2806" xr:uid="{0B96D781-179A-4E92-BFCB-C7B117B5AAB1}"/>
    <cellStyle name="Cur" xfId="2807" xr:uid="{1358E866-DDBC-459C-8F23-9ADB9B9F6B2E}"/>
    <cellStyle name="Cur 2" xfId="3555" xr:uid="{3C0DF007-4BB8-43CF-BF80-36C4F6250B59}"/>
    <cellStyle name="curr" xfId="2808" xr:uid="{C395AFE3-A839-4139-92A7-3AD62F9C3D3C}"/>
    <cellStyle name="CurRatio" xfId="2809" xr:uid="{1B1BD090-EB4A-4535-9E82-F069B00EAE66}"/>
    <cellStyle name="currecny" xfId="2810" xr:uid="{99B26CCD-3DA0-40E5-9E5C-3DCB1D1B2694}"/>
    <cellStyle name="currence" xfId="2811" xr:uid="{A2065973-DF58-417F-9159-3DA3422EE826}"/>
    <cellStyle name="Currency ($)" xfId="2812" xr:uid="{7767CFAC-B726-4801-9312-A98B568C216A}"/>
    <cellStyle name="Currency (£)" xfId="2813" xr:uid="{C9641B73-9FE4-4094-B688-01B7FE009F6B}"/>
    <cellStyle name="Currency (0.00)" xfId="2814" xr:uid="{FA22B4B4-5FA1-492F-A21D-0AD07DEF4C93}"/>
    <cellStyle name="Currency (1)" xfId="2815" xr:uid="{02CFBE9F-52AE-45E4-9A41-734EF015F1E3}"/>
    <cellStyle name="Currency [00]" xfId="2816" xr:uid="{7CAE0D2C-9AEA-4306-A3C4-2B3CE5CE786F}"/>
    <cellStyle name="Currency [1]" xfId="2817" xr:uid="{2B1AA323-B177-4E7C-9982-B4B853874797}"/>
    <cellStyle name="Currency [2]" xfId="2818" xr:uid="{1D92F493-31B9-4529-9714-5D14F1040A5C}"/>
    <cellStyle name="Currency 0" xfId="2819" xr:uid="{B46F0B60-758B-4635-8A75-457BE7633088}"/>
    <cellStyle name="Currency 0.00" xfId="2820" xr:uid="{DB3DC7B4-F6BE-4BB0-A23E-FB6EF5E5C6AE}"/>
    <cellStyle name="Currency 2" xfId="12" xr:uid="{00000000-0005-0000-0000-000018000000}"/>
    <cellStyle name="Currency 2 2" xfId="3640" xr:uid="{B3F6228D-70DC-4BF7-AA6B-A4657FD6AD4B}"/>
    <cellStyle name="Currency 2 3" xfId="2821" xr:uid="{198BA8F6-197D-41BA-B9D2-57DF22E47E29}"/>
    <cellStyle name="Currency Per Share" xfId="2822" xr:uid="{CE24ECB3-9D1E-4EC0-A597-B2EE9DC1FFE2}"/>
    <cellStyle name="Currency$[0]" xfId="2823" xr:uid="{CE9C3C9B-8DA8-49F1-B3A1-0CA8F7302F3C}"/>
    <cellStyle name="Currency$[2]" xfId="2824" xr:uid="{654B3B94-BAD7-4AD8-A337-86FAF2BBAAF3}"/>
    <cellStyle name="Currency,0" xfId="2825" xr:uid="{93E7AFC0-6C5A-49CE-AEDD-1F3B1B97E17D}"/>
    <cellStyle name="Currency,2" xfId="2826" xr:uid="{CC997732-ED6C-449C-AFE1-33855122D9E7}"/>
    <cellStyle name="Currency\[0]" xfId="2827" xr:uid="{0417136D-910B-4053-9AB4-AEA5B44C131D}"/>
    <cellStyle name="Currency0" xfId="2828" xr:uid="{38DBF6E3-AF9D-4D58-AEF1-7085C56A6487}"/>
    <cellStyle name="Currency1" xfId="2829" xr:uid="{9A5F4C18-FE6E-4F45-A8BC-8FF1F8B2ED12}"/>
    <cellStyle name="Currency-Denomination" xfId="2830" xr:uid="{25CB769D-340E-457F-817C-23055F54BA14}"/>
    <cellStyle name="Currency-Rounded" xfId="2831" xr:uid="{4C3ECEE5-A3F7-485A-8A31-5548061303B2}"/>
    <cellStyle name="Currsmall" xfId="2832" xr:uid="{4695413B-D4DF-4DA7-8259-D44A53717AE1}"/>
    <cellStyle name="Custom - Style8" xfId="3641" xr:uid="{55D51DD1-4761-4CB8-9D25-C44146F177D5}"/>
    <cellStyle name="Custom - Style8 2" xfId="4704" xr:uid="{F4531F49-98B7-4F48-B443-00CB2C4F5135}"/>
    <cellStyle name="Custom - Style8 2 2" xfId="4782" xr:uid="{63F65854-0308-434E-AAEB-731048154013}"/>
    <cellStyle name="d" xfId="2833" xr:uid="{39150683-D222-411E-BA85-8515FA0F8EC6}"/>
    <cellStyle name="D 2" xfId="3642" xr:uid="{8313C336-60A2-4E03-A89D-7DB23DC1127E}"/>
    <cellStyle name="D.C.R." xfId="2834" xr:uid="{8CE86FA9-945C-4D96-A11E-E81F81E94573}"/>
    <cellStyle name="Dash" xfId="2835" xr:uid="{F7CDC7B1-BFBD-4F4D-B863-53F2661578F2}"/>
    <cellStyle name="data" xfId="2836" xr:uid="{1A3EA34E-02A4-4C3C-8A10-270EE0962ACE}"/>
    <cellStyle name="Date" xfId="2837" xr:uid="{E8EA7F2F-4F91-476D-84E3-E139D7E6DC29}"/>
    <cellStyle name="Date [mmm-yy]" xfId="2838" xr:uid="{B7BDEB20-4FC1-4053-B540-F0FEED984CEA}"/>
    <cellStyle name="Date Aligned" xfId="2839" xr:uid="{277E5CFA-5F56-4619-B382-DC1700DD6521}"/>
    <cellStyle name="Date Short" xfId="2840" xr:uid="{DDE06585-4282-467E-AB0D-06DB35221CB4}"/>
    <cellStyle name="Date_AccDil(Spider)" xfId="2841" xr:uid="{8F3891BF-6A24-495E-9DBE-767E110CA6DD}"/>
    <cellStyle name="Date1" xfId="2842" xr:uid="{E912FC2B-992B-4DA4-831F-5734DBDEF731}"/>
    <cellStyle name="Date2" xfId="2843" xr:uid="{D1C54554-4E53-4359-BE01-E5979129ABC8}"/>
    <cellStyle name="DATETIME" xfId="3643" xr:uid="{E150B564-B643-40E5-8FD3-8FD9433250D1}"/>
    <cellStyle name="Datum" xfId="2844" xr:uid="{7E5E1EC6-967F-4F71-BC2C-58E98B54A0AA}"/>
    <cellStyle name="Datum 2" xfId="3556" xr:uid="{4EE3087B-E934-4D31-AF6A-F3B1134613D4}"/>
    <cellStyle name="dd" xfId="2845" xr:uid="{2D3FAF23-0186-4E15-ADDC-7C792E9A3987}"/>
    <cellStyle name="ddd" xfId="2846" xr:uid="{6DCA298C-F179-4F0E-9158-9A12623DBDFA}"/>
    <cellStyle name="Decimal_0dp" xfId="2847" xr:uid="{A9E7129B-1E6C-43E5-8CFE-77B127A36222}"/>
    <cellStyle name="DELTA" xfId="2848" xr:uid="{40347E8B-54D1-4F1C-9187-B2FEF832C1BC}"/>
    <cellStyle name="Dex Doub Line" xfId="2849" xr:uid="{A5E68706-CF51-4CAA-B0BF-0AE795542BFA}"/>
    <cellStyle name="Dex Doub Line 2" xfId="4277" xr:uid="{059B33CD-6B1D-4891-A111-047CC75A97CE}"/>
    <cellStyle name="Dex Doub Line 3" xfId="4285" xr:uid="{BCF10D11-B824-4876-9112-E31F9C24359E}"/>
    <cellStyle name="Dezimal [0]_revenue" xfId="2850" xr:uid="{7F7B715B-2078-448F-BC6A-4AA3B210DC9A}"/>
    <cellStyle name="Dezimal_airt-rev" xfId="2851" xr:uid="{3394FCC5-10F8-472E-9504-1C722284EC4F}"/>
    <cellStyle name="dgw" xfId="3644" xr:uid="{F47F87F2-414F-49D1-84D6-F72EDF197F6B}"/>
    <cellStyle name="Dia" xfId="2852" xr:uid="{90DD0983-8315-4C8D-8E3B-1A172C58FC37}"/>
    <cellStyle name="Dollar" xfId="2853" xr:uid="{82B7B9AB-D6AF-419C-819C-7CABA6343C11}"/>
    <cellStyle name="Dollar (zero dec)" xfId="2854" xr:uid="{C447CE98-42FE-40C8-A6C5-540F9884AEEE}"/>
    <cellStyle name="dollar_LVGEM project inputs" xfId="2855" xr:uid="{0460E8F9-A039-4C54-AF47-2F18BCE4C8DA}"/>
    <cellStyle name="Dollar1" xfId="2856" xr:uid="{CBC81868-4DC0-4015-A337-A17D3FDFA53B}"/>
    <cellStyle name="Dollar1Blue" xfId="2857" xr:uid="{361281D2-5BD6-4737-8847-843D8EC279C3}"/>
    <cellStyle name="Dollar2" xfId="2858" xr:uid="{C44B2C1D-13BA-46BF-940F-F7A7FDE3D007}"/>
    <cellStyle name="Dollars" xfId="2859" xr:uid="{8AA77066-CB2A-4DD4-9515-B60525283612}"/>
    <cellStyle name="Dotted Line" xfId="2860" xr:uid="{50A59939-50E5-4746-937E-D39A652B4BC2}"/>
    <cellStyle name="Double Accounting" xfId="2861" xr:uid="{0E1D68B7-CAA3-4227-8007-F09B55AA2406}"/>
    <cellStyle name="dp*NumberGeneral" xfId="2862" xr:uid="{580FEEEE-2466-468A-91C4-F4FA21E82479}"/>
    <cellStyle name="dr" xfId="2863" xr:uid="{DBB55E7D-14C1-40DC-8AC0-E89EE89F60C4}"/>
    <cellStyle name="ds" xfId="2864" xr:uid="{5089CF21-1C65-4FFC-AE9D-AB0299996836}"/>
    <cellStyle name="ds 2" xfId="4303" xr:uid="{7990726C-B7CD-4D65-80E3-DF7031F66482}"/>
    <cellStyle name="ds 3" xfId="4284" xr:uid="{3FAE627F-5559-4C1A-865D-29350F64AA7B}"/>
    <cellStyle name="Encabez1" xfId="2865" xr:uid="{A87FD77F-6779-47AA-88A5-C58B39DB6101}"/>
    <cellStyle name="Encabez2" xfId="2866" xr:uid="{69834630-9638-408D-8002-D3CC66A660A8}"/>
    <cellStyle name="Enter Currency (0)" xfId="2867" xr:uid="{33DF7459-E86E-4A3C-A882-C1E6853E818D}"/>
    <cellStyle name="Enter Currency (2)" xfId="2868" xr:uid="{B888000D-5EDE-46DB-ACFF-0002A69AE663}"/>
    <cellStyle name="Enter Units (0)" xfId="2869" xr:uid="{269B5BCE-8D35-4DBB-86D9-E716D2B74392}"/>
    <cellStyle name="Enter Units (1)" xfId="2870" xr:uid="{6358F7C5-EDE7-404C-BF34-2E5E83BF92B2}"/>
    <cellStyle name="Enter Units (2)" xfId="2871" xr:uid="{A1674082-5705-4973-96F0-CBC5CA1BA2F9}"/>
    <cellStyle name="Entered" xfId="2872" xr:uid="{D82E91FB-ECBE-48A3-A328-A80EAB714B28}"/>
    <cellStyle name="Euro" xfId="2873" xr:uid="{947E1E19-AF9B-4E62-A2EE-DA92C93C9AF4}"/>
    <cellStyle name="Euro 2" xfId="3645" xr:uid="{6CA03EE9-29C3-4AE2-95D8-35269F8D7A4D}"/>
    <cellStyle name="EvenBodyShade" xfId="3646" xr:uid="{F3E78581-2419-4C3B-AFFB-2246A065EB15}"/>
    <cellStyle name="EY House" xfId="2874" xr:uid="{F7EFF1A8-AC3F-4244-8AF2-EC7ECDD99D6F}"/>
    <cellStyle name="EYCurrency" xfId="2875" xr:uid="{22E23CB3-09C2-4C25-B0A2-2C5DF2AC2561}"/>
    <cellStyle name="EYCurrency 2" xfId="4276" xr:uid="{B96C1211-E477-4282-B33A-577CBAA67EE9}"/>
    <cellStyle name="EYCurrency 3" xfId="4283" xr:uid="{92832320-3851-4095-84CA-FD44DAE65C7C}"/>
    <cellStyle name="EYtext" xfId="2876" xr:uid="{01AD0BFE-1535-4243-979F-2CD25C3C3465}"/>
    <cellStyle name="f" xfId="2877" xr:uid="{21A5D9C2-FA0E-466A-8748-18B01E056053}"/>
    <cellStyle name="F1" xfId="3647" xr:uid="{96F14CA4-A712-4984-AAA5-294EFF465A66}"/>
    <cellStyle name="F2" xfId="2878" xr:uid="{10AB8900-5AB0-4DEF-8E94-6C2A44BAE1C6}"/>
    <cellStyle name="F3" xfId="2879" xr:uid="{CA4C574B-0782-4346-A2E1-08871AC14947}"/>
    <cellStyle name="F4" xfId="2880" xr:uid="{4077B521-C3C3-4155-97FF-F0C3F8023AEF}"/>
    <cellStyle name="F5" xfId="2881" xr:uid="{13B4FA4B-DF95-4538-9931-671029841F2C}"/>
    <cellStyle name="F6" xfId="2882" xr:uid="{76BEE196-1E37-4D39-8D01-52C6439E6B77}"/>
    <cellStyle name="F7" xfId="2883" xr:uid="{6E0FBB0B-6848-46C0-822C-F22C2A7B0456}"/>
    <cellStyle name="F8" xfId="2884" xr:uid="{0E24B426-8185-45E2-B28A-238A7DF804E3}"/>
    <cellStyle name="Feeder_Text" xfId="3648" xr:uid="{A2A318CF-6CA1-4DC7-9812-4E8AE3CBC166}"/>
    <cellStyle name="ff" xfId="2885" xr:uid="{C52AE173-B96D-4330-963C-7E8CFE4E7755}"/>
    <cellStyle name="fff" xfId="2886" xr:uid="{5E42D066-E157-4407-AE19-6F913D622EA5}"/>
    <cellStyle name="Fijo" xfId="2887" xr:uid="{D73FB3B4-3195-4647-BB2A-F53587848C88}"/>
    <cellStyle name="Financials" xfId="2888" xr:uid="{3ED611C0-7EF5-4312-8CF8-B0DD36727088}"/>
    <cellStyle name="Financials 2" xfId="4695" xr:uid="{DA42E159-9D3E-43A4-B6D5-E61854ADE547}"/>
    <cellStyle name="Financials 2 2" xfId="4773" xr:uid="{576EEFC9-E755-4CC9-8BB2-20E765F1E62C}"/>
    <cellStyle name="Financials Bold" xfId="2889" xr:uid="{5222D348-DF97-496D-9161-6328769E85B9}"/>
    <cellStyle name="Financials_LVGEM project inputs" xfId="2890" xr:uid="{B32B256C-D52F-4B72-A34D-DB55E12D706F}"/>
    <cellStyle name="Financiero" xfId="2891" xr:uid="{7E29663A-6C11-45AA-B6B0-29CAF2DD39B8}"/>
    <cellStyle name="Fix 0" xfId="2892" xr:uid="{A588F06B-7AAD-40A5-937F-3B51C64F730C}"/>
    <cellStyle name="Fix 0.0" xfId="2893" xr:uid="{6B97F1DA-9194-4CE0-A6FE-F0A0B8715234}"/>
    <cellStyle name="Fix 0.00" xfId="2894" xr:uid="{1E2AB70D-EC70-40B6-BA93-26CD10DD55F8}"/>
    <cellStyle name="Fixed" xfId="2895" xr:uid="{882F2561-F562-4957-AD26-1516495C0B58}"/>
    <cellStyle name="Fixlong" xfId="2896" xr:uid="{FBBAE599-D8A6-4FDE-9508-7CF9F058FBD9}"/>
    <cellStyle name="fn" xfId="2897" xr:uid="{FD6B70B3-DDB5-4A93-A730-B4F396602AF6}"/>
    <cellStyle name="Footnote" xfId="2898" xr:uid="{5CBE49BA-6657-455B-A863-FDA2EB37CEC7}"/>
    <cellStyle name="Footnotes" xfId="2899" xr:uid="{2B9C9F22-BEF5-42AD-B83A-717ED1E40AB5}"/>
    <cellStyle name="Forecast Cell Column Heading" xfId="2900" xr:uid="{A1410C28-3330-4D73-A237-A4C37BB5DCE3}"/>
    <cellStyle name="Formula" xfId="2901" xr:uid="{6D5F80C5-8EB8-4416-82CD-518C4212E415}"/>
    <cellStyle name="GrandTotal" xfId="3649" xr:uid="{D983777C-D65D-4A37-A302-4023AA89E684}"/>
    <cellStyle name="Grey" xfId="2902" xr:uid="{F9A15AA3-5107-409D-9E25-CDD1F2DBC9D3}"/>
    <cellStyle name="h" xfId="2903" xr:uid="{F5F56004-6A73-48B0-91CC-169CC9D01304}"/>
    <cellStyle name="H 2" xfId="2904" xr:uid="{3BA5933C-7FB6-432C-977C-5181F5AA0BF0}"/>
    <cellStyle name="h_marlswat" xfId="2905" xr:uid="{1E18F9EB-C983-4583-8D02-1C9C36E63573}"/>
    <cellStyle name="h_MobilTel Matav model 18 June 2003 v1 NEW Emilie" xfId="2906" xr:uid="{97C04353-86BE-45CA-A53D-ACB2E3A9E6E0}"/>
    <cellStyle name="h_MobilTel Matav model 18 June 2003 v1 NEW Emilie_Wireless Operating 15 Nov 03" xfId="2907" xr:uid="{5F49ABBC-5933-449B-9E91-49256AAF73BF}"/>
    <cellStyle name="h1" xfId="2908" xr:uid="{E9DE33C0-6F3C-4946-99D1-249FBB66FAA3}"/>
    <cellStyle name="h2" xfId="2909" xr:uid="{3A6B01A3-B76B-45A3-8CB5-1D7AE0D97377}"/>
    <cellStyle name="hard no." xfId="2910" xr:uid="{44580DE7-0084-4A92-A39D-C512158D07C9}"/>
    <cellStyle name="Hard Percent" xfId="2911" xr:uid="{3A122B45-A0A6-4B3E-B10C-E4B3EB56CD8E}"/>
    <cellStyle name="Head_Level 1" xfId="2912" xr:uid="{B51069C8-E75D-4624-8DE3-27FB183A8D3A}"/>
    <cellStyle name="Head1" xfId="3650" xr:uid="{F861129B-5A60-4C1E-843B-1CB2DF248DF4}"/>
    <cellStyle name="Head2" xfId="3651" xr:uid="{4A83E21A-C4A0-448C-9EA0-B4BF4D82DDE0}"/>
    <cellStyle name="Head3" xfId="3652" xr:uid="{3E5D5091-6DD9-4523-9A53-1CDC9072991A}"/>
    <cellStyle name="Head4" xfId="3653" xr:uid="{354338F4-149A-4837-BF37-6578FC33BD17}"/>
    <cellStyle name="Head5" xfId="3654" xr:uid="{7C645DAE-B2A8-45B1-A685-D9F466522EAB}"/>
    <cellStyle name="Head6" xfId="3655" xr:uid="{CF03B24F-8B4C-40E1-A94B-AC5DAEC5ADBC}"/>
    <cellStyle name="Head7" xfId="3656" xr:uid="{9A11E4E3-A163-435D-A11A-B670307035E6}"/>
    <cellStyle name="Head8" xfId="3657" xr:uid="{59C87AFC-333D-4121-A5D4-F37F7AB13081}"/>
    <cellStyle name="Head9" xfId="3658" xr:uid="{F5A3FB87-15F5-4F28-97E7-1E8B5A97BFCA}"/>
    <cellStyle name="header" xfId="2913" xr:uid="{33E2B96E-453C-45B7-8986-FFB58B0891F7}"/>
    <cellStyle name="Header - Style1" xfId="2914" xr:uid="{5B283AC8-420A-4B28-A33E-76375E62EE0D}"/>
    <cellStyle name="Header - Style1 2" xfId="4304" xr:uid="{290422D1-9C89-4FE9-B6A0-3D1356427EB6}"/>
    <cellStyle name="HEADER_2003 Apr Update" xfId="2915" xr:uid="{C6532D1B-8A59-4EEB-A694-BE262085B784}"/>
    <cellStyle name="Header1" xfId="2916" xr:uid="{2F20D1BB-28C9-430B-8519-FE79F3169D9B}"/>
    <cellStyle name="Header2" xfId="2917" xr:uid="{F5F8F18B-E0DE-48AF-89E5-75C97F296E30}"/>
    <cellStyle name="Header2 2" xfId="3659" xr:uid="{BBA38459-57DE-4F74-A22C-BCB7224EE221}"/>
    <cellStyle name="Header2 3" xfId="3660" xr:uid="{316FA284-01F7-4523-A5DF-2876A80E236D}"/>
    <cellStyle name="headers" xfId="2918" xr:uid="{CC1FC81C-AB29-4F4F-8078-537C152DA1F7}"/>
    <cellStyle name="heading" xfId="2919" xr:uid="{75733819-C1FA-47B1-9CF8-7AB1890E8A4E}"/>
    <cellStyle name="Heading1" xfId="2920" xr:uid="{0C2B8A9D-48F3-4DFD-8CA6-13359E452140}"/>
    <cellStyle name="HeadingS" xfId="2921" xr:uid="{6379E31D-497A-4580-BCDF-E7CC389225D5}"/>
    <cellStyle name="Headline Black" xfId="2922" xr:uid="{1007AAFD-A399-4C24-96CC-31E34B1D31A4}"/>
    <cellStyle name="Headline Blue" xfId="2923" xr:uid="{084926D2-AD11-45A9-9919-B38292581520}"/>
    <cellStyle name="Headline2" xfId="2924" xr:uid="{058EF670-3D10-4693-ACA5-8F8F4D6BA8BA}"/>
    <cellStyle name="HeadShade" xfId="3661" xr:uid="{27F2FEC9-91C0-4BB6-A4F5-A00A10E8CD2A}"/>
    <cellStyle name="hh" xfId="2925" xr:uid="{2FAFBEEF-870D-49C4-AB22-592194D1D4F0}"/>
    <cellStyle name="Hidden" xfId="2926" xr:uid="{C39F8C25-E17F-40B0-BC57-1F8BEBEF0FA1}"/>
    <cellStyle name="his" xfId="2927" xr:uid="{612DE796-9766-4C2C-8023-7F3C3A44E20A}"/>
    <cellStyle name="hj" xfId="2928" xr:uid="{A86AC5FC-826C-4739-B356-F5AD2C4E870C}"/>
    <cellStyle name="ht" xfId="2929" xr:uid="{DD78561E-5138-464D-BCA5-11D2357F3DFD}"/>
    <cellStyle name="i" xfId="2930" xr:uid="{48523167-F803-42ED-A5C4-93250264AB33}"/>
    <cellStyle name="I 2" xfId="3662" xr:uid="{9D66896A-2804-42C5-9D22-8C7CBC5FCE44}"/>
    <cellStyle name="i0" xfId="2931" xr:uid="{98B23A57-2227-4127-AC4E-8186CBE64813}"/>
    <cellStyle name="i0 2" xfId="4275" xr:uid="{BDE4BE8D-1EE4-4BCD-8C03-B479D156C7F0}"/>
    <cellStyle name="i0 3" xfId="4118" xr:uid="{4099B54B-F657-4B99-9180-AB691CD5600C}"/>
    <cellStyle name="i1" xfId="2932" xr:uid="{90D45D62-E259-44B1-9470-C31C94447CF0}"/>
    <cellStyle name="i2" xfId="2933" xr:uid="{C7710CD7-CDC4-4117-A756-F17FEA66F7AC}"/>
    <cellStyle name="i3" xfId="2934" xr:uid="{6A42A960-985B-49E0-BDA6-78867E7DAF98}"/>
    <cellStyle name="i4" xfId="2935" xr:uid="{F42ADBCD-9BA6-4D4B-8202-B708091F0EEC}"/>
    <cellStyle name="i5" xfId="2936" xr:uid="{128E954A-0BEC-420E-8D08-4013F2457B76}"/>
    <cellStyle name="Inhaltsverzeichnispunke" xfId="3663" xr:uid="{E64E1F87-0B86-4659-8DF4-FFE3A3F6C722}"/>
    <cellStyle name="Input %" xfId="2937" xr:uid="{638CDD0E-E434-4205-A87F-BCB4F1D07DF9}"/>
    <cellStyle name="Input [yellow]" xfId="2938" xr:uid="{C820DDF7-E34E-4BC3-8EEF-A1D6D7DF6587}"/>
    <cellStyle name="Input [yellow] 2" xfId="3664" xr:uid="{472D6C44-ADDB-4DAA-B44E-C7CCE1CB02E5}"/>
    <cellStyle name="Input [yellow] 3" xfId="3665" xr:uid="{E85168CA-E1AE-4721-8963-E1EFCDA36EBB}"/>
    <cellStyle name="Input Other Sheet" xfId="2939" xr:uid="{025976E3-B15E-4A4D-94F6-2B42DFC23D38}"/>
    <cellStyle name="Input Percent" xfId="2940" xr:uid="{F7529DF2-3AC1-4A38-A255-AA313334F341}"/>
    <cellStyle name="Input Transfer Same Sheet" xfId="2941" xr:uid="{74A7EF38-532C-4C1E-8B02-10928897CAAB}"/>
    <cellStyle name="Input1" xfId="2942" xr:uid="{AAE39A82-7B77-49E8-AA2F-067243D165A0}"/>
    <cellStyle name="Input2" xfId="2943" xr:uid="{EACB3720-5A98-4C9F-B3F5-7FFEFF9604E1}"/>
    <cellStyle name="Input2 2" xfId="4274" xr:uid="{A2FA45B3-5600-4869-B0EB-9590F19BF9B3}"/>
    <cellStyle name="InputBlueFont" xfId="2944" xr:uid="{A9D7D945-FB41-40DE-90DD-375AEB749525}"/>
    <cellStyle name="InputBlueFontLocked" xfId="2945" xr:uid="{392ED98F-5DDB-4625-903A-0678C6ABD073}"/>
    <cellStyle name="Inputs" xfId="2946" xr:uid="{56F6F1B8-D3B4-4BCE-A75A-55C1CB9DADD5}"/>
    <cellStyle name="Integer" xfId="2947" xr:uid="{F246BC3C-6890-401E-AF0D-5D7FDE269FC0}"/>
    <cellStyle name="italic" xfId="2948" xr:uid="{88D7533B-D8D8-449E-A3F8-ED2C87AF2E7B}"/>
    <cellStyle name="italic 2" xfId="4305" xr:uid="{61F5AB1B-1C02-4A6E-86BB-A51D72FC496B}"/>
    <cellStyle name="Italicbold" xfId="2949" xr:uid="{13528726-A2E4-4F6C-9A15-AA82CF7C2FE3}"/>
    <cellStyle name="Item" xfId="2950" xr:uid="{A3241857-8384-4995-9412-2761B22A834A}"/>
    <cellStyle name="Item Descriptions" xfId="2951" xr:uid="{B7911ED9-410D-4670-8F1B-AFF0CA70DEFC}"/>
    <cellStyle name="Item Descriptions - Bold" xfId="2952" xr:uid="{C55A3794-043E-4FAB-B926-7EDB7D075857}"/>
    <cellStyle name="Item Descriptions_6079BX" xfId="2953" xr:uid="{09EA07E8-EC43-43E8-8C40-16958C4D55C5}"/>
    <cellStyle name="ItemTypeClass" xfId="2954" xr:uid="{22F5F021-BF1B-4CC7-9D11-348663EB1ECA}"/>
    <cellStyle name="ItemTypeClass 2" xfId="4273" xr:uid="{AE4388D0-1BAA-4272-B866-0F7A03A7E1FB}"/>
    <cellStyle name="ItemTypeClass 3" xfId="4278" xr:uid="{4E9B1C96-F72C-492C-B3FA-019C3C144303}"/>
    <cellStyle name="J Row Heading" xfId="2955" xr:uid="{F6B49395-6CB8-4FA0-B89E-F3479A1CCE11}"/>
    <cellStyle name="Jason" xfId="2956" xr:uid="{0D5F6EB8-C045-42A6-A744-6F8354938EF5}"/>
    <cellStyle name="Komma [0]_laroux" xfId="2957" xr:uid="{9B08676E-FAC9-4AC4-91D5-44062285756D}"/>
    <cellStyle name="Komma_laroux" xfId="2958" xr:uid="{9849BA48-BB12-4210-BC05-391FD96F09B1}"/>
    <cellStyle name="kopregel" xfId="2959" xr:uid="{2E004318-51D8-4118-9308-4F70FF200FC8}"/>
    <cellStyle name="KPMG Heading 1" xfId="2960" xr:uid="{4748A26B-1049-493D-A452-1918BFF15EE7}"/>
    <cellStyle name="KPMG Heading 2" xfId="2961" xr:uid="{21E3FC70-52B1-4CD8-9140-A0E136545483}"/>
    <cellStyle name="KPMG Heading 3" xfId="2962" xr:uid="{058ED626-AD8A-4E71-85ED-27681E5216D0}"/>
    <cellStyle name="KPMG Heading 4" xfId="2963" xr:uid="{21D97BD6-776B-4DAB-AB85-BFCD6C54B466}"/>
    <cellStyle name="KPMG Normal" xfId="2964" xr:uid="{F38653D3-ACF1-4A15-AAD6-CBCF3BC303FA}"/>
    <cellStyle name="KPMG Normal Text" xfId="2965" xr:uid="{6EA8EAD0-4BC6-467C-94B1-20D038027501}"/>
    <cellStyle name="Lable8Left" xfId="2966" xr:uid="{6A101231-B803-4EDE-95BC-C4783C0A1766}"/>
    <cellStyle name="lev1" xfId="2967" xr:uid="{0EB97882-368D-40BF-9E45-1BFBFBA82C0C}"/>
    <cellStyle name="lev2" xfId="2968" xr:uid="{3769A3DC-4D67-4F3C-994C-65156696258A}"/>
    <cellStyle name="lev3" xfId="2969" xr:uid="{1764FF9B-EC7E-4673-9BC8-BF21C9BCF8CA}"/>
    <cellStyle name="lev4" xfId="2970" xr:uid="{373D664A-D3EB-467D-845E-BD651450404B}"/>
    <cellStyle name="Lien hypertexte" xfId="2971" xr:uid="{6A85B49E-5885-4D82-9E29-00DE72F8B51B}"/>
    <cellStyle name="Lien hypertexte visité" xfId="2972" xr:uid="{B5B1B7DD-1E71-466F-849C-2CAAE61DAD0C}"/>
    <cellStyle name="Line" xfId="2973" xr:uid="{D66394D0-419B-4425-8B3F-FD467E0EC866}"/>
    <cellStyle name="LineItem" xfId="2974" xr:uid="{D1A1F8FA-46C6-485E-8C2E-EE71ECA2AE11}"/>
    <cellStyle name="LineItemPrompt" xfId="2975" xr:uid="{672C4258-984D-4E50-A520-8176EB420E87}"/>
    <cellStyle name="LineItemPrompt 2" xfId="3666" xr:uid="{9A72F78C-C825-48CC-9B60-4EF3A90616FC}"/>
    <cellStyle name="LineItemValue" xfId="2976" xr:uid="{A579F78D-AF7D-4371-9C15-34B964808B4E}"/>
    <cellStyle name="LineItemValue 2" xfId="3667" xr:uid="{0B3C7E2B-17C7-4656-A78F-7E590B905D7B}"/>
    <cellStyle name="Link Currency (0)" xfId="2977" xr:uid="{2235E6D0-980B-4D64-8215-92976F972D8C}"/>
    <cellStyle name="Link Currency (2)" xfId="2978" xr:uid="{A2734011-7D3D-4420-9D1C-4485015F2704}"/>
    <cellStyle name="Link Units (0)" xfId="2979" xr:uid="{D87D028F-94AC-4A63-A614-6DF6EEF946AA}"/>
    <cellStyle name="Link Units (1)" xfId="2980" xr:uid="{6D8A3248-6F05-4C56-9F4E-3EFC77077F69}"/>
    <cellStyle name="Link Units (2)" xfId="2981" xr:uid="{2A5AE02A-D9E1-4980-8098-01C481B3E884}"/>
    <cellStyle name="Linked" xfId="2982" xr:uid="{93CE099B-4E9E-4BC2-836F-7035E9EC710E}"/>
    <cellStyle name="lpt" xfId="2983" xr:uid="{4B31E3AF-9132-44B2-A94D-897F37E9E2D0}"/>
    <cellStyle name="lspt" xfId="2984" xr:uid="{8CD996B6-1715-4E13-9B6E-AC2F966E413A}"/>
    <cellStyle name="LTM Cell Column Heading" xfId="2985" xr:uid="{7055B774-0578-48E1-8C6F-31B1385B61B5}"/>
    <cellStyle name="m" xfId="2986" xr:uid="{B51CAB14-5BD2-4303-8506-B8DFB4B566FD}"/>
    <cellStyle name="M 2" xfId="3668" xr:uid="{18028F07-7E76-4720-B448-4F7994FF4787}"/>
    <cellStyle name="m2" xfId="2987" xr:uid="{AF55B563-CA3B-48EC-B0FB-421B1B0E64D6}"/>
    <cellStyle name="Main Title" xfId="2988" xr:uid="{4762E023-0B26-45D6-80F1-1C08FD21FB66}"/>
    <cellStyle name="MainData" xfId="3669" xr:uid="{41A434C5-4518-41EE-88AA-0098E1254B36}"/>
    <cellStyle name="MajorTotal" xfId="3670" xr:uid="{F0E63CC0-F75D-4922-9C95-744F5EFFDC8D}"/>
    <cellStyle name="MajorTotal 2" xfId="4117" xr:uid="{3B48F88B-7B70-4EC1-88B2-0BBA4C77B863}"/>
    <cellStyle name="Migliaia (0)_STET Hellas" xfId="2989" xr:uid="{99BADC9C-DDD8-40E1-8FAF-FF912E04B117}"/>
    <cellStyle name="Millares [0]_10 AVERIAS MASIVAS + ANT" xfId="2990" xr:uid="{25DEE662-888F-4CBC-957D-EDDE461C1831}"/>
    <cellStyle name="Millares_10 AVERIAS MASIVAS + ANT" xfId="2991" xr:uid="{3F5AA4B8-71E1-4661-882D-05FB12D4FBE3}"/>
    <cellStyle name="Milliers [0]_Arabian Spec" xfId="2992" xr:uid="{44746802-0219-46A1-810C-6E76E61B4252}"/>
    <cellStyle name="Milliers_Arabian Spec" xfId="2993" xr:uid="{97D2E63F-00F1-4F28-B02A-F6DF1CD99E05}"/>
    <cellStyle name="million" xfId="2994" xr:uid="{5F57CEF2-B472-423E-BDD3-8CA44E2B76AB}"/>
    <cellStyle name="Millions" xfId="2995" xr:uid="{EE229BF7-99EE-4432-9868-C5CBA248F9DC}"/>
    <cellStyle name="Millions 2" xfId="3557" xr:uid="{B302065A-AC0D-4E4B-A888-05E8926BC74C}"/>
    <cellStyle name="Millions 2 2" xfId="4324" xr:uid="{C87D0AF0-5B80-4DB5-8857-AB905A862A89}"/>
    <cellStyle name="Millions 3" xfId="4306" xr:uid="{06C41D8F-2043-40C7-B786-4A457DC07701}"/>
    <cellStyle name="MLComma0" xfId="2996" xr:uid="{41E5A359-D044-4176-B1FC-85C3A459DF6E}"/>
    <cellStyle name="Model" xfId="2997" xr:uid="{668B0B86-0D78-4D25-92C1-A11B86354CBC}"/>
    <cellStyle name="Model Name" xfId="2998" xr:uid="{F210A613-E349-4DD8-AB9D-47908AD5A3E9}"/>
    <cellStyle name="Models" xfId="2999" xr:uid="{CC415384-EDCF-4FCB-84A4-3DE20AEC19CD}"/>
    <cellStyle name="Moeda [0]_Bow_Acq" xfId="3000" xr:uid="{52C71AE0-4519-4693-A6D5-C34E0B134960}"/>
    <cellStyle name="Moeda_Bow_Acq" xfId="3001" xr:uid="{5C0568BD-521A-45EC-94D9-FEFC70D920DF}"/>
    <cellStyle name="Mon?aire [0]_Arabian Spec" xfId="3002" xr:uid="{85877982-2A2C-4893-A7BD-73BA9E5CC61B}"/>
    <cellStyle name="Mon?aire_Arabian Spec" xfId="3003" xr:uid="{E37E07CD-5253-4597-A249-703678AC35B6}"/>
    <cellStyle name="Moneda [0]_10 AVERIAS MASIVAS + ANT" xfId="3004" xr:uid="{029E1AFF-3458-4F45-8B47-7E79901960E6}"/>
    <cellStyle name="Moneda_10 AVERIAS MASIVAS + ANT" xfId="3005" xr:uid="{2900D02A-5306-40AA-A120-CE299EDB6E32}"/>
    <cellStyle name="Monétaire [0]_EDYAN" xfId="3006" xr:uid="{24E36EA2-5EF7-4F81-AB5B-B53E03FD4840}"/>
    <cellStyle name="Monétaire_EDYAN" xfId="3007" xr:uid="{73998875-14B4-40D2-8148-C71CB32650E2}"/>
    <cellStyle name="Mon騁aire [0]_laroux" xfId="3671" xr:uid="{7C9F7018-E7A1-4D18-BF03-488D2F9A6C44}"/>
    <cellStyle name="Mon騁aire_laroux" xfId="3672" xr:uid="{3E8B58B7-6C3B-42B8-99E0-F55C984D213B}"/>
    <cellStyle name="mu" xfId="3008" xr:uid="{B10C30DE-9C7D-47B3-88EA-313434C5689B}"/>
    <cellStyle name="Multiple" xfId="3009" xr:uid="{8B35E15A-6B6A-4D7D-83C4-E331686BC90C}"/>
    <cellStyle name="Multiple [0]" xfId="3010" xr:uid="{DD078289-1CBA-46BE-B282-8299624AA3C8}"/>
    <cellStyle name="Multiple Cell Column Heading" xfId="3011" xr:uid="{7F533A4C-1F58-4073-85D5-8D8F3041E2C2}"/>
    <cellStyle name="Multiple_1 Dec" xfId="3012" xr:uid="{757CBACB-3C21-4D42-91F6-AEE8AB90238D}"/>
    <cellStyle name="multipoles" xfId="3013" xr:uid="{7FFE40E3-1F36-47C3-91A4-29EA4CD42652}"/>
    <cellStyle name="n" xfId="3014" xr:uid="{D3F3E939-03A7-444B-84AE-3BC3A4CDE719}"/>
    <cellStyle name="n_nav rioja2" xfId="3015" xr:uid="{640BE098-7EFD-463D-A57E-7A67C2401626}"/>
    <cellStyle name="n_Valo_Science_1904" xfId="3016" xr:uid="{2EC277B7-180C-46E1-8649-3FEC7B89B4F6}"/>
    <cellStyle name="n_Valo_Science_1904_Valution Summary 23-3-01" xfId="3017" xr:uid="{1A82EC71-5F8C-4BF2-B751-6A1FFC327751}"/>
    <cellStyle name="n0" xfId="3018" xr:uid="{D97E4B2C-5FC4-4A30-8D05-5DD3F47D9C3B}"/>
    <cellStyle name="n1" xfId="3019" xr:uid="{8C75CA1B-E7CD-458F-8A36-2D1FBF7B0E7F}"/>
    <cellStyle name="n2" xfId="3020" xr:uid="{DF2F3E4C-488A-48FD-AEFC-8566978B3E6C}"/>
    <cellStyle name="n2 2" xfId="4696" xr:uid="{A12E637B-C556-473A-955F-06ACC4439A16}"/>
    <cellStyle name="n2 2 2" xfId="4774" xr:uid="{764B513E-A070-456E-B51C-54F54AE4F72A}"/>
    <cellStyle name="NACC" xfId="3021" xr:uid="{DC3F52EA-32C6-4026-B27D-BA52437A3941}"/>
    <cellStyle name="nav" xfId="3022" xr:uid="{D651CAD0-F70A-4A81-A2A2-60087A4E2D2C}"/>
    <cellStyle name="no" xfId="3023" xr:uid="{CBB2869E-5A7D-4061-B073-8BBF9542A6DE}"/>
    <cellStyle name="no dec" xfId="3024" xr:uid="{B78DE1B5-5E30-4A30-B214-EF511BD562B2}"/>
    <cellStyle name="No.s to 1dp" xfId="3025" xr:uid="{942D20E7-5C4D-406C-8D51-748AE55A1116}"/>
    <cellStyle name="Normal - Style1" xfId="3026" xr:uid="{199E506E-63A1-475F-BAC2-1ACC39CBF148}"/>
    <cellStyle name="Normal - Style1 2" xfId="3673" xr:uid="{1C738349-8FC8-4CE1-8835-912C8ACBC5F7}"/>
    <cellStyle name="Normal - Style2" xfId="3027" xr:uid="{E3528692-3BC5-4EE6-AC15-75DDF79AB7E6}"/>
    <cellStyle name="Normal - Style2 2" xfId="3674" xr:uid="{EFC3FD85-CC5F-4D96-BE1D-BEB3FE8F7923}"/>
    <cellStyle name="Normal - Style3" xfId="3028" xr:uid="{3D36FCC6-962A-46E8-841E-C94E82D5CBC4}"/>
    <cellStyle name="Normal - Style3 2" xfId="3675" xr:uid="{DC74C4F2-51D7-4093-84AD-60979EDDEC05}"/>
    <cellStyle name="Normal - Style4" xfId="3029" xr:uid="{B22BF495-5223-4B9C-B31D-DB3A4C1A6B5B}"/>
    <cellStyle name="Normal - Style4 2" xfId="3676" xr:uid="{CEBED399-05A3-4548-9C92-7905CA9407EE}"/>
    <cellStyle name="Normal - Style5" xfId="3030" xr:uid="{3A7F1C01-3DA6-404D-A9A8-3FD220D14B87}"/>
    <cellStyle name="Normal - Style5 2" xfId="3677" xr:uid="{577AA221-1DBD-4FC8-9BA0-6F4E9969E0ED}"/>
    <cellStyle name="Normal - Style6" xfId="3031" xr:uid="{CDFD1868-0E61-4713-95AC-A6E0F2CC6FD3}"/>
    <cellStyle name="Normal - Style6 2" xfId="3678" xr:uid="{1031EC99-71CF-4D4C-B23A-FA842079879F}"/>
    <cellStyle name="Normal - Style7" xfId="3032" xr:uid="{842EC205-19D1-411C-82AF-8909AB642EA3}"/>
    <cellStyle name="Normal - Style7 2" xfId="3679" xr:uid="{D075E745-553F-455F-B9FB-2A08507CDE22}"/>
    <cellStyle name="Normal - Style8" xfId="3033" xr:uid="{B7DF04DE-93FF-4974-BA96-FAC80E8C2309}"/>
    <cellStyle name="Normal - Style8 2" xfId="3680" xr:uid="{098B228B-F299-401F-B896-3A941022C92E}"/>
    <cellStyle name="Normal 10" xfId="4040" xr:uid="{69BF52B1-3669-4CD5-AB4C-04676EEFA0C5}"/>
    <cellStyle name="Normal 11" xfId="4046" xr:uid="{3C9166D3-30D2-4816-AFD7-6548CD9E67F4}"/>
    <cellStyle name="Normal 12" xfId="4051" xr:uid="{02C9D734-FDA3-44F4-BDCE-597B5206B9CE}"/>
    <cellStyle name="Normal 13" xfId="4462" xr:uid="{BDCA0B18-D483-4C54-A38B-405A5E9BE2FC}"/>
    <cellStyle name="Normal 2" xfId="2" xr:uid="{00000000-0005-0000-0000-00001A000000}"/>
    <cellStyle name="Normal 2 2" xfId="17" xr:uid="{00000000-0005-0000-0000-00001B000000}"/>
    <cellStyle name="Normal 2 2 2" xfId="3681" xr:uid="{E40F4691-D997-47AD-BA52-5E44C6173482}"/>
    <cellStyle name="Normal 2 2 3" xfId="3565" xr:uid="{0E1B5B68-B6B2-4065-A561-3833A29902B7}"/>
    <cellStyle name="Normal 2 2 3 2" xfId="4325" xr:uid="{AA86E806-3F11-45C2-90C3-4EAAA507C5E7}"/>
    <cellStyle name="Normal 2 2 4" xfId="3035" xr:uid="{679206D5-9D87-4B02-9D7B-BE4683D3E406}"/>
    <cellStyle name="Normal 2 3" xfId="3682" xr:uid="{AC47B28A-528E-467E-A900-B80A9BCEF110}"/>
    <cellStyle name="Normal 2 4" xfId="4492" xr:uid="{67978736-B6CA-444F-BC5F-CED0C72B4120}"/>
    <cellStyle name="Normal 2 5" xfId="3034" xr:uid="{DC4C7CAF-6A75-418D-95B3-AE8D243D18EC}"/>
    <cellStyle name="Normal 3" xfId="9" xr:uid="{00000000-0005-0000-0000-00001C000000}"/>
    <cellStyle name="Normal 3 2" xfId="3037" xr:uid="{0EF7B85D-01DE-4041-AA2D-EDE527D526FA}"/>
    <cellStyle name="Normal 3 2 3" xfId="118" xr:uid="{A22BF724-B227-4A86-81FE-DF13A4750A13}"/>
    <cellStyle name="Normal 3 3" xfId="3683" xr:uid="{8F00B127-2CD3-40CB-86AF-2C39EDE115F3}"/>
    <cellStyle name="Normal 3 4" xfId="4734" xr:uid="{111F210D-7CFD-4382-83E5-75CDC476E083}"/>
    <cellStyle name="Normal 3 5" xfId="3036" xr:uid="{D3FD97D3-0766-469F-83C7-4867D5AB5180}"/>
    <cellStyle name="Normal 4" xfId="3038" xr:uid="{A3F8E6B3-332D-4AE6-95E4-33EC22C5668A}"/>
    <cellStyle name="Normal 4 2" xfId="3685" xr:uid="{1FF53807-AFF2-4C48-BCA5-EDD78A85FDA9}"/>
    <cellStyle name="Normal 4 3" xfId="3684" xr:uid="{ED63DA96-AE8E-4755-89E4-76DE9A08593A}"/>
    <cellStyle name="Normal 4 3 2" xfId="4333" xr:uid="{11283307-FFC1-40AB-AA72-238E55D7CA53}"/>
    <cellStyle name="Normal 4 3 2 2" xfId="4496" xr:uid="{A8D02DA8-3192-4441-B012-01AF022D92F9}"/>
    <cellStyle name="Normal 4 3 3" xfId="4495" xr:uid="{D011B565-B9B3-4E88-A982-9F4D8C3F1F9B}"/>
    <cellStyle name="Normal 5" xfId="3039" xr:uid="{4F8B22C8-1D19-437B-B860-15B9D43147CB}"/>
    <cellStyle name="Normal 6" xfId="3040" xr:uid="{2C55671E-72F5-4D82-81ED-519E675783D7}"/>
    <cellStyle name="Normal 6 2" xfId="4058" xr:uid="{37FBA8C0-D192-4FD3-838E-8314CD3AB035}"/>
    <cellStyle name="Normal 6 2 2" xfId="4497" xr:uid="{149A62D1-C0B9-4938-A7D8-964764473B69}"/>
    <cellStyle name="Normal 7" xfId="3562" xr:uid="{E3E3B6A8-B246-46A0-A18C-C06BD4DD0223}"/>
    <cellStyle name="Normal 8" xfId="3575" xr:uid="{58214E36-165D-4076-AFC1-386B0A0E8BDA}"/>
    <cellStyle name="Normal 9" xfId="4047" xr:uid="{7291A43C-EA96-443D-A001-9FD453D04E61}"/>
    <cellStyle name="Normal Bold" xfId="3041" xr:uid="{B0DDDD6D-003F-420E-9478-034EBA7E6EB4}"/>
    <cellStyle name="Normal Title Blue" xfId="3042" xr:uid="{72A4423D-1394-48AD-870D-C3EFD9A3C29C}"/>
    <cellStyle name="NormalBlue" xfId="3043" xr:uid="{90A20309-C196-404F-9F4A-B5DC86301A17}"/>
    <cellStyle name="NormalBold" xfId="3044" xr:uid="{C849AE82-EA87-4681-972B-FCDFE15D0ACC}"/>
    <cellStyle name="NormalHelv" xfId="3045" xr:uid="{ACBCE1D4-79C1-450D-B5D7-1050A92370C7}"/>
    <cellStyle name="NormalOPrint_Module_E (2)" xfId="3686" xr:uid="{B116B9C4-4D89-4293-8A21-6E965B2C7E30}"/>
    <cellStyle name="NOT" xfId="3046" xr:uid="{44A4C69C-C2CB-41B8-95A1-EC9706159DF3}"/>
    <cellStyle name="Notes" xfId="3047" xr:uid="{8498189A-D5E9-4154-B60E-C65BAFC1AD8B}"/>
    <cellStyle name="Notes 2" xfId="4307" xr:uid="{4CAE6943-367D-4817-8B3B-4C7A8074F642}"/>
    <cellStyle name="Num1" xfId="3048" xr:uid="{0207397D-7659-4F63-9488-73AD898F9CBE}"/>
    <cellStyle name="Num1Blue" xfId="3049" xr:uid="{CDFD75FC-5AF3-46DA-9E16-A1EB44E33EA4}"/>
    <cellStyle name="Num2" xfId="3050" xr:uid="{38361A61-702C-4A14-9A17-153B8AFE31DB}"/>
    <cellStyle name="number" xfId="3051" xr:uid="{E8707721-79C3-4D7C-89EA-4190CB0C9077}"/>
    <cellStyle name="Number(0)" xfId="3687" xr:uid="{45B748E7-A73E-4C79-BE8E-E6551989BC88}"/>
    <cellStyle name="Numbers" xfId="3052" xr:uid="{FAE40C0C-4DC0-4FD6-BBA3-9C10C6AD3E16}"/>
    <cellStyle name="Numbers - Bold" xfId="3053" xr:uid="{29B4646B-0259-4638-8414-A2179763B58A}"/>
    <cellStyle name="Numbers - Bold - Italic" xfId="3054" xr:uid="{6A0F4F59-A248-41AF-9642-0E64811A69E2}"/>
    <cellStyle name="Numbers - Bold_6079BX" xfId="3055" xr:uid="{93BABDF1-8A65-401B-9D42-E32060A57191}"/>
    <cellStyle name="Numbers - Large" xfId="3056" xr:uid="{D90DAFE3-3B55-47C2-867D-1F7F674EEE3D}"/>
    <cellStyle name="Numbers_6079BX" xfId="3057" xr:uid="{03F8D149-FA7B-4490-B975-23E60D46ED44}"/>
    <cellStyle name="OddBodyShade" xfId="3688" xr:uid="{DD9E0C9F-C95D-4311-BA69-4D5A9401EF7D}"/>
    <cellStyle name="Œ…‹æØ‚è [0.00]_GE 3 MINIMUM" xfId="3058" xr:uid="{4852854F-8F90-4633-9397-3D31F1263857}"/>
    <cellStyle name="Œ…‹æØ‚è_GE 3 MINIMUM" xfId="3059" xr:uid="{D427C7AC-6A53-44CA-BBB6-E4E1593C320F}"/>
    <cellStyle name="outh America" xfId="3060" xr:uid="{0A214A38-A4E6-4DA6-B54C-0AB9E92FB457}"/>
    <cellStyle name="Output Amounts" xfId="3061" xr:uid="{DD4985F6-6779-4A97-931A-93518F328AEC}"/>
    <cellStyle name="OUTPUT AMOUNTS 2" xfId="3689" xr:uid="{13862D03-4798-4C0E-9FBE-64B08B962E17}"/>
    <cellStyle name="Output Column Headings" xfId="3062" xr:uid="{540D3BD0-83D5-4B64-98FF-239EFA23148A}"/>
    <cellStyle name="OUTPUT COLUMN HEADINGS 2" xfId="3690" xr:uid="{CCA4636E-ED17-4229-879A-608B43D1AB1F}"/>
    <cellStyle name="Output Line Items" xfId="3063" xr:uid="{2070EFCC-2066-43A0-B3E5-17221E03A92A}"/>
    <cellStyle name="OUTPUT LINE ITEMS 2" xfId="3691" xr:uid="{FC4CEE81-0C57-43EB-B26A-619976E60EDE}"/>
    <cellStyle name="Output Report Heading" xfId="3064" xr:uid="{9190E199-4B17-42C5-9924-D7EBFC5191CB}"/>
    <cellStyle name="OUTPUT REPORT HEADING 2" xfId="3692" xr:uid="{63FBCF62-0F03-47D7-B08B-285ED35CE6F3}"/>
    <cellStyle name="Output Report Title" xfId="3065" xr:uid="{D2D6312A-8F9B-4CF8-87F8-D59493E150F9}"/>
    <cellStyle name="OUTPUT REPORT TITLE 2" xfId="3693" xr:uid="{BDCB52B8-8EC0-4AB0-9734-46879FD9F974}"/>
    <cellStyle name="Overscore" xfId="3694" xr:uid="{56F19EA8-B9B4-4221-9444-8F01A09947EA}"/>
    <cellStyle name="Overunder" xfId="3695" xr:uid="{1196BA97-5AEE-403C-B06F-AD216BECED11}"/>
    <cellStyle name="p" xfId="3066" xr:uid="{0A4A4AFD-BCE7-4420-9E53-32B6458938DE}"/>
    <cellStyle name="P 2" xfId="3697" xr:uid="{DA75F6E1-9515-468F-8E03-129125CC9735}"/>
    <cellStyle name="P 3" xfId="3696" xr:uid="{6EFBA71E-EADD-4A2B-A003-3792D6E10C91}"/>
    <cellStyle name="P&amp;L Numbers" xfId="3067" xr:uid="{C440567F-A79F-47A9-A578-46FAAFF7DEF8}"/>
    <cellStyle name="p_WACC benchmarking" xfId="3068" xr:uid="{A444E150-E183-433A-B991-184673A4F644}"/>
    <cellStyle name="p1" xfId="3069" xr:uid="{9816E8BF-CBBF-4DAE-BC7B-E6625B34784A}"/>
    <cellStyle name="Page Heading" xfId="3070" xr:uid="{5020D186-DEBB-412D-A7D4-4E4A41A713FC}"/>
    <cellStyle name="Page Heading Large" xfId="3071" xr:uid="{87719FA4-9777-47C7-90EE-D14AEC338044}"/>
    <cellStyle name="Page Heading Small" xfId="3072" xr:uid="{DE25B351-0FD6-441D-8389-98AD1F8D13BE}"/>
    <cellStyle name="Page Number" xfId="3073" xr:uid="{BB6699E3-F7E9-4E81-AA9D-C7F9EEC40BC3}"/>
    <cellStyle name="PB Table Heading" xfId="3074" xr:uid="{552B67EB-6A4A-421F-97DE-4A04C85F0904}"/>
    <cellStyle name="PB Table Highlight1" xfId="3075" xr:uid="{69D7D665-5A52-4318-AA02-A9B2D83B15A9}"/>
    <cellStyle name="PB Table Highlight2" xfId="3076" xr:uid="{9F30FE16-C6B3-4C87-8511-47E7842A3FEC}"/>
    <cellStyle name="PB Table Highlight2 2" xfId="4308" xr:uid="{E9E855E6-6A65-4A6D-B3F7-2A8CC49D2C28}"/>
    <cellStyle name="PB Table Highlight3" xfId="3077" xr:uid="{AD11E578-1A80-436D-B423-BC4C0FA0AA81}"/>
    <cellStyle name="PB Table Highlight3 2" xfId="4309" xr:uid="{8F7786B8-5EEE-48DC-A68E-30227BE99F37}"/>
    <cellStyle name="PB Table Standard Row" xfId="3078" xr:uid="{165C1A81-BFF0-45AA-865B-3B8BE6D6EF9C}"/>
    <cellStyle name="PB Table Standard Row 2" xfId="4250" xr:uid="{FE03D800-190E-4C33-A08E-F66A90707E01}"/>
    <cellStyle name="PB Table Subtotal Row" xfId="3079" xr:uid="{C6AFDB1E-3612-4676-8159-3D3EFD933FBA}"/>
    <cellStyle name="PB Table Total Row" xfId="3080" xr:uid="{8DC3FC50-9224-4DDF-9CAF-55D620B39755}"/>
    <cellStyle name="pc1" xfId="3081" xr:uid="{9C936864-BBAF-4F54-AEAA-CD673AE7A96B}"/>
    <cellStyle name="pcent" xfId="3082" xr:uid="{66D194B3-480E-47FC-9C2E-6EECAACC01C4}"/>
    <cellStyle name="pct_sub" xfId="3083" xr:uid="{FD69BEF1-B02D-4E7F-B696-438494235A64}"/>
    <cellStyle name="pd" xfId="3084" xr:uid="{9B839BA1-84A6-4935-AF9E-7FB345A0614B}"/>
    <cellStyle name="pe" xfId="3085" xr:uid="{CF4D828E-483A-4691-9C0F-0F9470A3C9DA}"/>
    <cellStyle name="per" xfId="3086" xr:uid="{0F2B0A3E-6CC3-4F01-A7EE-79BE0DCAB018}"/>
    <cellStyle name="Percent (1)" xfId="3087" xr:uid="{7E76E6E2-31E4-4453-95B9-D617198BD473}"/>
    <cellStyle name="Percent [0%]" xfId="3088" xr:uid="{855F9C31-5F2C-4ACE-B2A6-58592AB5CF57}"/>
    <cellStyle name="Percent [0.00%]" xfId="3089" xr:uid="{9133EA3A-58F2-4311-9689-A4D0FBD01AC1}"/>
    <cellStyle name="Percent [0]" xfId="3090" xr:uid="{A730DC96-F483-402F-B705-4FE8BF44EDBC}"/>
    <cellStyle name="Percent [00]" xfId="3091" xr:uid="{83AAA193-698E-4C36-A4A9-074A42693771}"/>
    <cellStyle name="Percent [00] 2" xfId="4697" xr:uid="{3CBD104C-E72B-4B21-B800-01D16F379A6B}"/>
    <cellStyle name="Percent [00] 2 2" xfId="4775" xr:uid="{AD9EE6DE-36D5-4EDD-8131-40E4590AFACA}"/>
    <cellStyle name="Percent [00] 3" xfId="4746" xr:uid="{B8B2F1A6-2939-4C89-BB83-52C712257AA6}"/>
    <cellStyle name="Percent [1]" xfId="3092" xr:uid="{E52C2924-077F-4E92-9E2E-7CD3239429AD}"/>
    <cellStyle name="Percent [2]" xfId="3093" xr:uid="{EB3B3A7E-BD12-4B16-BAED-102FA470281D}"/>
    <cellStyle name="Percent 0%" xfId="3094" xr:uid="{BF99DE78-27F3-4CF8-AB8F-494D5C6547FE}"/>
    <cellStyle name="Percent 0.0%" xfId="3095" xr:uid="{C3CFA88E-9B87-4454-97B2-4C9C0E41DEC0}"/>
    <cellStyle name="Percent 0.00%" xfId="3096" xr:uid="{79088436-104E-4B84-A102-617B65D10096}"/>
    <cellStyle name="Percent 10" xfId="4044" xr:uid="{92959BE0-DC4C-453D-9515-59AB20E64E54}"/>
    <cellStyle name="Percent 11" xfId="4463" xr:uid="{4C904B53-6DFB-4966-95A2-FEFBF6156FE2}"/>
    <cellStyle name="Percent 2" xfId="11" xr:uid="{00000000-0005-0000-0000-00001E000000}"/>
    <cellStyle name="Percent 2 2" xfId="3098" xr:uid="{FB5165BD-0321-4EEA-AF72-2F8091ABC0A3}"/>
    <cellStyle name="Percent 2 2 2" xfId="3699" xr:uid="{11C2BDF5-2551-4BA6-BFC4-0ACC0EEAD804}"/>
    <cellStyle name="Percent 2 2 2 2" xfId="4335" xr:uid="{9B1B36E0-7C1C-4EBA-931B-4A5111BEF63F}"/>
    <cellStyle name="Percent 2 2 2 2 2" xfId="4499" xr:uid="{A9368EB7-3367-410E-A892-C68B8C3DC9F3}"/>
    <cellStyle name="Percent 2 2 2 3" xfId="4498" xr:uid="{CE503459-AE89-4031-B789-975D6F31BACA}"/>
    <cellStyle name="Percent 2 3" xfId="3700" xr:uid="{68FA6F27-F975-4229-9523-CCCBDCEEDABE}"/>
    <cellStyle name="Percent 2 4" xfId="3698" xr:uid="{4F75C47E-BDBA-4187-9A7E-B8CB324E09C8}"/>
    <cellStyle name="Percent 2 4 2" xfId="4334" xr:uid="{301DC479-E2A7-40FD-9184-889016F377B6}"/>
    <cellStyle name="Percent 2 4 2 2" xfId="4501" xr:uid="{DEABD205-C187-46E8-97AF-501460C2321F}"/>
    <cellStyle name="Percent 2 4 3" xfId="4500" xr:uid="{E905BE85-45DA-49F0-89D2-9EB890EB18F1}"/>
    <cellStyle name="Percent 2 5" xfId="3097" xr:uid="{ECEC323E-43B8-4095-AB6A-73037150CB11}"/>
    <cellStyle name="Percent 3" xfId="3099" xr:uid="{DC71ABD7-5AED-40F4-8C45-12027545AFE3}"/>
    <cellStyle name="Percent 3 2" xfId="3100" xr:uid="{CF89957B-5C06-461D-A910-09DAAC32FC76}"/>
    <cellStyle name="Percent 3 3" xfId="3701" xr:uid="{BCBE55C4-509C-435D-80BE-E76B7B32D17B}"/>
    <cellStyle name="Percent 4" xfId="3101" xr:uid="{C2E59DB6-5E9E-4E41-B6C7-0CC138BC591D}"/>
    <cellStyle name="Percent 4 2" xfId="4035" xr:uid="{D8822AA6-4A9F-4AE3-A6A9-FC3BB152F2C7}"/>
    <cellStyle name="Percent 5" xfId="3102" xr:uid="{56F0C52A-8AF2-4B96-BCBE-8032564AD125}"/>
    <cellStyle name="Percent 5 2" xfId="4037" xr:uid="{70899E5C-CDBF-472A-BB5B-3CCBAACAFC8F}"/>
    <cellStyle name="Percent 5 2 2" xfId="4427" xr:uid="{C15B436B-4212-407B-977F-F42E727F3B0D}"/>
    <cellStyle name="Percent 5 2 2 2" xfId="4503" xr:uid="{AA540ED5-D6EA-4646-BA81-283A92B0E5B5}"/>
    <cellStyle name="Percent 5 2 3" xfId="4502" xr:uid="{39FEE65B-8735-4B3E-9DF6-D28EC50087A5}"/>
    <cellStyle name="Percent 6" xfId="4034" xr:uid="{57C37444-FA60-4A12-8B4E-A360908B40E5}"/>
    <cellStyle name="Percent 7" xfId="4048" xr:uid="{B59FA625-57D3-4ABB-A764-D2F6554BA8F8}"/>
    <cellStyle name="Percent 8" xfId="4038" xr:uid="{0560C21E-D77D-47E5-89B5-EFBA62C7315C}"/>
    <cellStyle name="Percent 9" xfId="4052" xr:uid="{73C3700D-685A-4418-8652-23D4040FCF89}"/>
    <cellStyle name="Percent Hard" xfId="3103" xr:uid="{06413A92-4555-4CC9-8936-1F6051A0ED12}"/>
    <cellStyle name="Percent[0]" xfId="3104" xr:uid="{B5D5F18E-3809-476F-8C80-C40685917EEA}"/>
    <cellStyle name="Percent[2]" xfId="3105" xr:uid="{C01944F2-B8D1-4D8F-A1D8-2F5EE5723755}"/>
    <cellStyle name="Percent1" xfId="3106" xr:uid="{06C26E08-A3D7-4512-8AB3-7814F5040755}"/>
    <cellStyle name="Percent1Blue" xfId="3107" xr:uid="{7E1A5E6B-3C2C-4285-BE1F-FBF68D5AE2F6}"/>
    <cellStyle name="Percent2" xfId="3108" xr:uid="{02DF8676-C6F3-4318-8CF6-74D4AF59D7BB}"/>
    <cellStyle name="Percent2Blue" xfId="3109" xr:uid="{BBEA3E80-E58D-4226-9A86-3057722F38A3}"/>
    <cellStyle name="Percentage" xfId="3110" xr:uid="{81CE7EAC-3AA8-4A47-8E7E-EAED46E13E0F}"/>
    <cellStyle name="PercentChange" xfId="3111" xr:uid="{29A7F863-35E7-478E-9AFA-C3FB406443B6}"/>
    <cellStyle name="PercentChange 2" xfId="3558" xr:uid="{20A3A971-5359-4375-8D57-2C315932040C}"/>
    <cellStyle name="Perlong" xfId="3112" xr:uid="{28D9CE6D-3AF9-4F92-A2FA-B2550FA0B0DC}"/>
    <cellStyle name="pf" xfId="3113" xr:uid="{8A5BB0B3-E62D-4B53-A61B-E1A808653E86}"/>
    <cellStyle name="Pound" xfId="3114" xr:uid="{A1574FA2-48BF-41E7-A85A-E4812221B00F}"/>
    <cellStyle name="Pound [1]" xfId="3115" xr:uid="{05E7CC08-CA51-4640-BCB9-82106D0F6500}"/>
    <cellStyle name="Pound [2]" xfId="3116" xr:uid="{8AD8BE83-4978-48D0-8012-4ECB049DE3D8}"/>
    <cellStyle name="pp" xfId="3117" xr:uid="{0D66F54B-2D5C-4819-84C0-3B264A910052}"/>
    <cellStyle name="ppp" xfId="3118" xr:uid="{641A5D48-3BEF-4084-AC09-60BF85C50DEE}"/>
    <cellStyle name="PrePop Currency (0)" xfId="3119" xr:uid="{8EDA4603-8200-429F-9E1A-918B2CAD7551}"/>
    <cellStyle name="PrePop Currency (2)" xfId="3120" xr:uid="{F39828E1-D3DD-4F2D-B4CE-AFE5183142FC}"/>
    <cellStyle name="PrePop Units (0)" xfId="3121" xr:uid="{DC923364-78C0-420F-8845-E0A2DDAA4602}"/>
    <cellStyle name="PrePop Units (1)" xfId="3122" xr:uid="{9D85824D-5212-45EC-87D4-A6A61278CDED}"/>
    <cellStyle name="PrePop Units (2)" xfId="3123" xr:uid="{4993D246-67E7-4C07-B5C2-6C5AD5708CC6}"/>
    <cellStyle name="Private" xfId="3124" xr:uid="{11122ABA-94DD-488E-919B-E94F0ABC3B33}"/>
    <cellStyle name="Private1" xfId="3125" xr:uid="{987F250F-CCB1-4CCA-A92C-E879DC7B9752}"/>
    <cellStyle name="Prozent_Anadat" xfId="3126" xr:uid="{AE958345-672A-47C8-BC81-198CDA8CF30E}"/>
    <cellStyle name="PSChar" xfId="3127" xr:uid="{C679983B-539F-452A-96A2-932EB6AFE3E5}"/>
    <cellStyle name="PSDate" xfId="3128" xr:uid="{9988914A-FC7D-46A9-B4AE-209B85BF1104}"/>
    <cellStyle name="PSDec" xfId="3129" xr:uid="{4350D657-D1DA-4A7C-BE6E-3B5ECEB4B6B9}"/>
    <cellStyle name="ptit" xfId="3130" xr:uid="{2023C0BC-6BB6-4025-9183-C7AA199EC3D2}"/>
    <cellStyle name="ptit 2" xfId="4246" xr:uid="{8ED6A61E-C366-4186-8F23-D680891FDDDC}"/>
    <cellStyle name="pwercent" xfId="3131" xr:uid="{E5918F86-FD96-4536-ABA7-80E7B5679EC6}"/>
    <cellStyle name="Quantity" xfId="3132" xr:uid="{383B8D80-C246-4923-B491-AF92F737D233}"/>
    <cellStyle name="Quantity 2" xfId="4310" xr:uid="{2B6D349A-B835-4A56-BA52-578AAA58B6B2}"/>
    <cellStyle name="r" xfId="3133" xr:uid="{3E777676-78D1-4363-A617-6481BF0AFB00}"/>
    <cellStyle name="r_MobilTel (12 Jun 03)" xfId="3134" xr:uid="{971FF2F8-9804-47CB-A4E6-8711CB9F6A05}"/>
    <cellStyle name="r_Telekom Austria Debt Capacity (26 Jun 2003)" xfId="3135" xr:uid="{E3D7A202-E523-4A24-9BC4-9049D1EFD431}"/>
    <cellStyle name="r0" xfId="3136" xr:uid="{B1F9D9EA-EEFD-469B-B8A1-121ACF7A58DB}"/>
    <cellStyle name="rat" xfId="3137" xr:uid="{85AF481C-9901-49C0-B4D3-5E5C70AD8D20}"/>
    <cellStyle name="rate" xfId="3138" xr:uid="{D86D631F-8850-4D60-A5B7-995D2C205FEA}"/>
    <cellStyle name="ratio" xfId="3139" xr:uid="{74370D1D-1D8F-4D0B-8BC9-57B170FAE417}"/>
    <cellStyle name="RatioX" xfId="3140" xr:uid="{F934C307-E069-4571-8F32-F67DB7FA2732}"/>
    <cellStyle name="Reference" xfId="3141" xr:uid="{9AD86C35-E452-4423-9EC1-3C347306146A}"/>
    <cellStyle name="Reg1" xfId="3702" xr:uid="{8DB78A24-3958-41D7-B97D-77BF8A4944E5}"/>
    <cellStyle name="Reg2" xfId="3703" xr:uid="{B5C162DC-0BB1-477A-9175-4240744EC601}"/>
    <cellStyle name="Reg3" xfId="3704" xr:uid="{7946CA3B-64FC-45E0-A940-3957CB143EE7}"/>
    <cellStyle name="Reg4" xfId="3705" xr:uid="{CBDEE870-A25F-4100-860F-7973E44796F6}"/>
    <cellStyle name="Reg5" xfId="3706" xr:uid="{7C063FA9-8C14-4A89-94DE-86A1300F9A96}"/>
    <cellStyle name="Reg6" xfId="3707" xr:uid="{BFF5C742-26B0-4179-87D3-E7CFE74FFFD9}"/>
    <cellStyle name="Reg7" xfId="3708" xr:uid="{2BAA8706-73B3-4EA2-BF66-810A095C8972}"/>
    <cellStyle name="Reg8" xfId="3709" xr:uid="{48B9F377-37D4-4DE0-B39F-DE2FDCE52ACC}"/>
    <cellStyle name="Reg9" xfId="3710" xr:uid="{80109939-B71A-42C4-9469-EF26DCEAF414}"/>
    <cellStyle name="ReportTitlePrompt" xfId="3142" xr:uid="{2F3957B2-0779-4657-8AC8-5C64A262CB45}"/>
    <cellStyle name="ReportTitlePrompt 2" xfId="3711" xr:uid="{11232E84-09ED-4571-ABF5-B7CFA42712FC}"/>
    <cellStyle name="ReportTitleValue" xfId="3143" xr:uid="{E493D09A-56EA-4D9F-812E-C22EA01F43B3}"/>
    <cellStyle name="ReportTitleValue 2" xfId="3712" xr:uid="{4C297962-F4FD-4777-AA94-EB3253FD75EC}"/>
    <cellStyle name="RevList" xfId="3144" xr:uid="{1D1284E5-1A18-480F-A585-80AB41F8E49F}"/>
    <cellStyle name="RevList 2" xfId="3559" xr:uid="{8B751886-60CC-4EDA-90C2-A3153B7865C3}"/>
    <cellStyle name="ri" xfId="3145" xr:uid="{F26E8100-6514-46E1-B734-7DB36A163248}"/>
    <cellStyle name="Row Headings" xfId="3146" xr:uid="{1B6DE3D8-2A04-45C0-A0C0-7BE5B0170EA7}"/>
    <cellStyle name="Row Title 1" xfId="3147" xr:uid="{FE924694-F4A6-4EB8-A62C-62F0959EC40C}"/>
    <cellStyle name="Row Title 2" xfId="3148" xr:uid="{D5683C82-223B-4DF2-995C-4FA0F16039C0}"/>
    <cellStyle name="Row Title 3" xfId="3149" xr:uid="{02E7C347-A659-4BE5-AC45-20ACE2D059AC}"/>
    <cellStyle name="Row Total" xfId="3150" xr:uid="{4157EF5A-99DA-4BF3-847B-F04114B8BE13}"/>
    <cellStyle name="RowAcctAbovePrompt" xfId="3151" xr:uid="{55A94C19-953A-46E0-BA08-B7A4618283B5}"/>
    <cellStyle name="RowAcctAbovePrompt 2" xfId="3713" xr:uid="{1D73A9AB-9965-41EB-B628-8BA5234A575F}"/>
    <cellStyle name="RowAcctSOBAbovePrompt" xfId="3152" xr:uid="{B1559272-DDB3-42A6-A36A-3CFAF7DF4EE3}"/>
    <cellStyle name="RowAcctSOBAbovePrompt 2" xfId="3714" xr:uid="{6E4C886E-8B63-461C-BF50-5D7FFA1AC73F}"/>
    <cellStyle name="RowAcctSOBValue" xfId="3153" xr:uid="{9EB7AB96-1676-4D41-9390-34B075AD1306}"/>
    <cellStyle name="RowAcctSOBValue 2" xfId="3715" xr:uid="{52A920FD-1443-47E5-9771-84CA5B67508D}"/>
    <cellStyle name="RowAcctValue" xfId="3154" xr:uid="{72E0692D-3BC4-4081-ADB6-4127307634F9}"/>
    <cellStyle name="RowAcctValue 2" xfId="3716" xr:uid="{7EC93735-D20C-49F1-AC63-5EA748E32558}"/>
    <cellStyle name="RowAttrAbovePrompt" xfId="3155" xr:uid="{ADE99D7C-CECA-4AC3-A975-0F6193BB924E}"/>
    <cellStyle name="RowAttrAbovePrompt 2" xfId="3717" xr:uid="{9E74059F-63E0-4506-BDE3-82A47D6BFBB4}"/>
    <cellStyle name="RowAttrValue" xfId="3156" xr:uid="{764D0BFC-C267-4C89-9724-CED654D5EA7D}"/>
    <cellStyle name="RowAttrValue 2" xfId="3718" xr:uid="{C1E32619-EB67-4DF5-8C41-491BDE163E16}"/>
    <cellStyle name="RowColSetAbovePrompt" xfId="3157" xr:uid="{538B39DE-39BB-4668-9848-99A5AD2115D7}"/>
    <cellStyle name="RowColSetAbovePrompt 2" xfId="3719" xr:uid="{6E18BA46-FB33-47BC-824D-6323E33A1D01}"/>
    <cellStyle name="RowColSetLeftPrompt" xfId="3158" xr:uid="{0FDC96FC-1BC7-4570-ABC5-A0845CB64F9F}"/>
    <cellStyle name="RowColSetLeftPrompt 2" xfId="3720" xr:uid="{F56632AE-F7A2-4146-9B73-006F276C290B}"/>
    <cellStyle name="RowColSetValue" xfId="3159" xr:uid="{65716AEC-2762-4832-84FE-B1FAC22A0219}"/>
    <cellStyle name="RowColSetValue 2" xfId="3721" xr:uid="{1F8C7DA3-C8B8-4757-A64A-D60E664C78DC}"/>
    <cellStyle name="RowLeftPrompt" xfId="3160" xr:uid="{D589886E-2F3A-4998-99C9-E2ACCE8AAAD9}"/>
    <cellStyle name="RowLeftPrompt 2" xfId="3722" xr:uid="{D7E0BE97-3925-44E5-87BC-105584E2D1A8}"/>
    <cellStyle name="s" xfId="3161" xr:uid="{0CFA0F5E-B6A5-461C-87DB-EF4938F2B10A}"/>
    <cellStyle name="s 2" xfId="4243" xr:uid="{8177CBA8-4B15-4F46-B402-E4CB0ACD40E0}"/>
    <cellStyle name="s]_x000d__x000a_spooler=yes_x000d__x000a_load=mbtn.exe_x000d__x000a_run=_x000d__x000a_Beep=yes_x000d__x000a_NullPort=None_x000d__x000a_BorderWidth=1_x000d__x000a_CursorBlinkRate=522_x000d__x000a_DoubleClickSpeed=740" xfId="3162" xr:uid="{3139D9D3-377F-4CC3-A58C-2CC4EA6BC232}"/>
    <cellStyle name="s_2003" xfId="3163" xr:uid="{742DA19A-7FD9-47EE-8D9A-41C62C4A8109}"/>
    <cellStyle name="s_2003 2" xfId="4242" xr:uid="{AF082ECB-0636-4CB8-8567-44EDBEE031D8}"/>
    <cellStyle name="s_ad3" xfId="3164" xr:uid="{435E276C-9CCC-4521-B20C-A575338C87F2}"/>
    <cellStyle name="s_ad3 2" xfId="4241" xr:uid="{CCC8956D-5FBE-4937-9C16-DE858543ED5F}"/>
    <cellStyle name="s_ad3_1" xfId="3165" xr:uid="{1E8442AF-7FE7-4195-973E-F5267E92375F}"/>
    <cellStyle name="s_ad3_1 2" xfId="4240" xr:uid="{B1D2661F-1B16-487B-9823-39E71451D5B2}"/>
    <cellStyle name="s_ad3_2" xfId="3166" xr:uid="{B05CA182-D30E-4C51-A9A7-70898376C5DF}"/>
    <cellStyle name="s_ad5" xfId="3167" xr:uid="{D68F41A2-A601-4160-BD9F-60A680ABF3A0}"/>
    <cellStyle name="s_ad5 2" xfId="4239" xr:uid="{A3016FB8-DF55-4661-B83D-F6737ABFD54C}"/>
    <cellStyle name="s_ad5_1" xfId="3168" xr:uid="{4778ABB6-B523-4BF3-8C7D-C2C45D95D4DC}"/>
    <cellStyle name="s_asko1" xfId="3169" xr:uid="{A6043457-B15B-4210-A0B7-4907D37E9B6D}"/>
    <cellStyle name="s_asko1 2" xfId="4238" xr:uid="{C9B60C09-2894-4BAF-93F0-538C03583A37}"/>
    <cellStyle name="s_asko1_1" xfId="3170" xr:uid="{F42753D3-EB15-4F80-9C47-B9F493BB8CB2}"/>
    <cellStyle name="s_Assumptions" xfId="3171" xr:uid="{DB9AB675-5B94-479D-84E4-F1955F58AA4B}"/>
    <cellStyle name="s_Assumptions 2" xfId="4237" xr:uid="{5B08DEB3-9591-4ACD-A29D-11E3D62ABA5F}"/>
    <cellStyle name="s_B_S_Ratios _B" xfId="3172" xr:uid="{F6F90540-269C-4380-B8D8-318A3BC23A14}"/>
    <cellStyle name="s_B_S_Ratios _B 2" xfId="4236" xr:uid="{48258BD4-464E-4ED9-B615-AA3D8D38E5D6}"/>
    <cellStyle name="s_B_S_Ratios_T" xfId="3173" xr:uid="{52F8FE9E-02F1-4540-9166-82873787A18D}"/>
    <cellStyle name="s_B_S_Ratios_T 2" xfId="4235" xr:uid="{5944E431-513D-46F0-8487-38C988DED11F}"/>
    <cellStyle name="s_Book3" xfId="3174" xr:uid="{FFCF5084-9FE2-4D05-9394-1DADFD23D578}"/>
    <cellStyle name="s_Book3 2" xfId="4234" xr:uid="{B6B9DE19-5ABF-4C0B-88AD-EA7E273B034D}"/>
    <cellStyle name="s_btr_2" xfId="3175" xr:uid="{45E3A58C-D261-4E04-B929-8F0AFC3FAFB0}"/>
    <cellStyle name="s_btr_2 2" xfId="4233" xr:uid="{1005BB12-D20A-4DD6-A8A0-F84D17C8D89C}"/>
    <cellStyle name="s_btr_2_1" xfId="3176" xr:uid="{39A39D99-9DC6-417E-90B8-94FE95F3C38F}"/>
    <cellStyle name="s_btr_2_2" xfId="3177" xr:uid="{BE38DE2A-570F-47DD-9544-5F813F27119C}"/>
    <cellStyle name="s_btr_2_2 2" xfId="4232" xr:uid="{B89943FD-C03E-47A2-A761-5015BB7EA6D5}"/>
    <cellStyle name="s_btr_3" xfId="3178" xr:uid="{2EA87BBB-2B66-4B15-83D2-6AEC96698772}"/>
    <cellStyle name="s_btr_3 2" xfId="4231" xr:uid="{677AF5CE-9F63-4946-9B89-4122D89130E9}"/>
    <cellStyle name="s_btr_3_1" xfId="3179" xr:uid="{AED37608-CE7B-49A9-AA85-9D8D6FA67D2C}"/>
    <cellStyle name="s_btr_3_1 2" xfId="4230" xr:uid="{DF5A4F46-478E-4A89-985F-E30707EDD463}"/>
    <cellStyle name="s_Bullet Consolidated 19 Nov 2003 v6" xfId="3180" xr:uid="{4A9F4297-4942-4272-8BE3-A3D8D7914C8B}"/>
    <cellStyle name="s_Bullet Consolidated 19 Nov 2003 v6 2" xfId="4229" xr:uid="{1424A38C-FA80-46C2-B106-51CEB4A3AD8F}"/>
    <cellStyle name="s_Contribution Based on Exchange 24 04 02" xfId="3181" xr:uid="{A93DFB8F-08AC-4647-AA82-38F376AE87C7}"/>
    <cellStyle name="s_Contribution Based on Exchange 24 04 02 2" xfId="4228" xr:uid="{A873C03D-9ADF-48B7-B4AF-0AD25E75ADC0}"/>
    <cellStyle name="s_DCFLBO Code" xfId="3182" xr:uid="{5ABB7949-7485-4BE5-9FB8-599A58F60201}"/>
    <cellStyle name="s_DCFLBO Code_1" xfId="3183" xr:uid="{23EC81CB-E795-4B44-BE1E-F0AD8CE15BBB}"/>
    <cellStyle name="s_DCFLBO Code_1 2" xfId="4227" xr:uid="{3F460513-C9AE-4EE6-8F13-15FDFF9CB4E6}"/>
    <cellStyle name="s_Dilution" xfId="3184" xr:uid="{C1DC1BCB-16C3-4CE3-9221-8F609D35669E}"/>
    <cellStyle name="s_Dilution 2" xfId="4226" xr:uid="{6C5B9093-3CFD-4E3C-9566-349BA8F06F9E}"/>
    <cellStyle name="s_Financials_B" xfId="3185" xr:uid="{29FFD85A-C02B-4BFD-B416-2E3803B4D260}"/>
    <cellStyle name="s_Financials_B 2" xfId="4225" xr:uid="{C76CD238-EE61-410D-AC63-98A563112516}"/>
    <cellStyle name="s_Financials_T" xfId="3186" xr:uid="{AE9011C3-AA32-468E-ADC6-6C2963C24628}"/>
    <cellStyle name="s_Financials_T 2" xfId="4224" xr:uid="{2BF34CC9-115F-4C4B-86CB-1DE0B3DBD3FF}"/>
    <cellStyle name="s_Grouse+Pelican" xfId="3187" xr:uid="{6D60D1F0-6740-464A-A1E1-8D43334E756E}"/>
    <cellStyle name="s_lbo1" xfId="3188" xr:uid="{D26B75EC-5A3E-4DF6-B9BA-E9F32A1CE75E}"/>
    <cellStyle name="s_lbo1_1" xfId="3189" xr:uid="{69A45E38-237C-4BB5-B105-70B0A449AC32}"/>
    <cellStyle name="s_lbo1_1 2" xfId="4223" xr:uid="{F2883050-C431-465F-B909-F7D878BC448C}"/>
    <cellStyle name="s_lbo1_2" xfId="3190" xr:uid="{B58C2EF3-350C-4621-B2D6-0C02563BD836}"/>
    <cellStyle name="s_lbo1_2 2" xfId="4222" xr:uid="{47D83D23-8E86-4889-B5B2-9C496943BC0B}"/>
    <cellStyle name="s_lbo3" xfId="3191" xr:uid="{A72BA213-704C-49C0-A097-0D65E85F65B0}"/>
    <cellStyle name="s_lbo3_1" xfId="3192" xr:uid="{EF0133E8-762F-4CE0-8D2B-D5264D313C07}"/>
    <cellStyle name="s_lbo3_1 2" xfId="4221" xr:uid="{9456A0C3-FC1A-4D44-B697-130641A5F105}"/>
    <cellStyle name="s_LBO5" xfId="3193" xr:uid="{7687FA4B-5049-4287-8296-4E3AA508CE6D}"/>
    <cellStyle name="s_LBO5 2" xfId="4220" xr:uid="{D0008518-6FC4-448C-A478-B6BB8E48DB9F}"/>
    <cellStyle name="s_LBO5_1" xfId="3194" xr:uid="{C4324629-D7A3-406E-BA78-30DDEA2BE6AC}"/>
    <cellStyle name="s_Matrix_B" xfId="3195" xr:uid="{A0902816-2D9D-4E4B-8386-C3EB9C366BD3}"/>
    <cellStyle name="s_Matrix_B 2" xfId="4219" xr:uid="{09C5FCDD-0BB7-4E91-A9D9-5107612A78DA}"/>
    <cellStyle name="s_Matrix_T" xfId="3196" xr:uid="{4C0797CB-B643-4865-A8C7-3ACB1EE90ECE}"/>
    <cellStyle name="s_Matrix_T 2" xfId="4218" xr:uid="{282C5A9D-C226-447D-A815-8D0FFE016A1D}"/>
    <cellStyle name="s_Merger" xfId="3197" xr:uid="{1CCB5294-3F49-4A9E-9B6A-5316458E7C5E}"/>
    <cellStyle name="s_Merger 2" xfId="4217" xr:uid="{7AF6F283-BDB4-4A23-AEF9-23CB4A73F7FF}"/>
    <cellStyle name="s_MobilTel Matav model 18 June 2003 v1 NEW Emilie" xfId="3198" xr:uid="{4D684992-CD45-4C0A-A12F-9E112D3CF6CA}"/>
    <cellStyle name="s_model1" xfId="3199" xr:uid="{0B036ED9-B6A7-4C6F-88E7-6469807C3CA6}"/>
    <cellStyle name="s_model1 2" xfId="4216" xr:uid="{4DEAB18D-3EE9-4B24-9E10-F371519421FD}"/>
    <cellStyle name="s_model1_1" xfId="3200" xr:uid="{C31653D8-2D0C-4379-9B7E-651057E25333}"/>
    <cellStyle name="s_model1_2" xfId="3201" xr:uid="{A19E3AE6-518A-439B-A13E-94D4F3122CE0}"/>
    <cellStyle name="s_model1_2 2" xfId="4215" xr:uid="{2090E63D-4B86-40A3-8A93-F433F4B69A01}"/>
    <cellStyle name="s_model19" xfId="3202" xr:uid="{1EDA0F08-8D56-4D5E-8A8C-76DF2888FC20}"/>
    <cellStyle name="s_model19_1" xfId="3203" xr:uid="{81C2339E-510A-42EF-BC25-66EDCB137A9E}"/>
    <cellStyle name="s_model19_1 2" xfId="4214" xr:uid="{7DA9381F-2A2C-42B4-896C-56C06C1131FF}"/>
    <cellStyle name="s_model2" xfId="3204" xr:uid="{090BDD62-FBFA-4C7C-873B-D1558A96BF68}"/>
    <cellStyle name="s_model2 2" xfId="4213" xr:uid="{A0336F21-7F37-4559-BACD-E4C86283627F}"/>
    <cellStyle name="s_model6" xfId="3205" xr:uid="{94137B74-2964-4E5B-B838-64D5183770D2}"/>
    <cellStyle name="s_model6 2" xfId="4212" xr:uid="{0E265236-9E8C-4CDD-8CAE-2B31F30C9D08}"/>
    <cellStyle name="s_model6_1" xfId="3206" xr:uid="{A3A4E342-7C2A-404A-A167-61558CFF55CD}"/>
    <cellStyle name="s_model6_2" xfId="3207" xr:uid="{AF760642-A331-45FF-A290-E7430B280E72}"/>
    <cellStyle name="s_model6_2 2" xfId="4211" xr:uid="{26DCBB8F-DAD6-470A-9193-9C13B22E52A5}"/>
    <cellStyle name="s_MS Model 3 May" xfId="3208" xr:uid="{F0128201-B055-4EE7-BAA3-3560D7B86252}"/>
    <cellStyle name="s_MS Model 3 May 2" xfId="4210" xr:uid="{E78E9A85-6D01-4C6B-9575-A5F52D4B29A9}"/>
    <cellStyle name="s_P_L_Ratios" xfId="3209" xr:uid="{9CF3B128-F9A4-4AE9-B290-AD53520E2586}"/>
    <cellStyle name="s_P_L_Ratios 2" xfId="4209" xr:uid="{A4C8E5D9-F5FD-43DA-97A1-C55EA06BEFC6}"/>
    <cellStyle name="s_P_L_Ratios_B" xfId="3210" xr:uid="{E4B70237-861A-4099-931B-15FE23649C7A}"/>
    <cellStyle name="s_P_L_Ratios_B 2" xfId="4208" xr:uid="{D7F12A74-D9AE-469D-8DB8-67AA85D2D13B}"/>
    <cellStyle name="s_S_By_S" xfId="3211" xr:uid="{B23D9075-54AB-448E-B0B1-00F9F2DCCF2C}"/>
    <cellStyle name="s_S_By_S 2" xfId="4207" xr:uid="{34680236-E618-46DD-850A-B8203105ED7E}"/>
    <cellStyle name="s_saft_1" xfId="3212" xr:uid="{3BABA18B-4CA3-46AE-85B4-3E77047F48F5}"/>
    <cellStyle name="s_saft_1 2" xfId="4206" xr:uid="{9A4AAC1C-FF62-4D85-AFA8-5594218197AB}"/>
    <cellStyle name="s_saft_1_1" xfId="3213" xr:uid="{D3A5B548-264B-4D87-964B-99AFE5B04505}"/>
    <cellStyle name="s_saft_1_1 2" xfId="4205" xr:uid="{0172076C-BEF5-46B2-B649-08421ADBC1F8}"/>
    <cellStyle name="s_saft_1_2" xfId="3214" xr:uid="{0228CC3E-735C-41E0-A5DF-FDC1F9210887}"/>
    <cellStyle name="s_Sheet5" xfId="3215" xr:uid="{A3D716A2-9991-48EB-B811-6108A6A8EB2F}"/>
    <cellStyle name="s_Sheet5 2" xfId="4204" xr:uid="{862BCAB7-DD89-48D6-B70A-B4DAFC84D44D}"/>
    <cellStyle name="s_Simplified Seine Unimin 16 July" xfId="3216" xr:uid="{55DE5DB7-6C33-4ACE-9CC7-390E89CF5C28}"/>
    <cellStyle name="s_Simplified Seine Unimin 16 July 2" xfId="4203" xr:uid="{2C025269-AA64-44FE-8AD4-0BB9C0F897E3}"/>
    <cellStyle name="s_Valuation " xfId="3217" xr:uid="{C6AAC4F4-C112-4D7B-A1C1-2E6D56703AB3}"/>
    <cellStyle name="s_Valuation  2" xfId="4202" xr:uid="{804A4B98-D890-4676-8B65-27637DE508B0}"/>
    <cellStyle name="s_Volumes" xfId="3218" xr:uid="{3FFB0599-4EE2-480C-810A-B1CD265DFB7D}"/>
    <cellStyle name="s_Volumes 2" xfId="4201" xr:uid="{5D4E8FD5-2644-4FB2-AC30-AA7503B36C0F}"/>
    <cellStyle name="s_WACC benchmarking" xfId="3219" xr:uid="{C09EFB00-04C9-4A60-931F-377623337E86}"/>
    <cellStyle name="s_WACC benchmarking 2" xfId="4311" xr:uid="{5E18D52C-7F22-406B-90C6-A27211596A2C}"/>
    <cellStyle name="s_WACC benchmarking 3" xfId="4272" xr:uid="{74EA4DD1-A37D-4613-B764-C713D09E2C34}"/>
    <cellStyle name="SampleUsingFormatMask" xfId="3220" xr:uid="{543BD622-D831-4C20-B69A-DF6AFB07E06A}"/>
    <cellStyle name="SampleUsingFormatMask 2" xfId="3723" xr:uid="{6C2BA45D-CA98-48CB-AD1F-7C56803B836A}"/>
    <cellStyle name="SampleWithNoFormatMask" xfId="3221" xr:uid="{C69F03AC-E2D9-4614-ABF1-99BE2D8061D3}"/>
    <cellStyle name="SampleWithNoFormatMask 2" xfId="3724" xr:uid="{FF6BA874-9FE5-4219-BDB1-BF53064B7EAA}"/>
    <cellStyle name="SAPBEXaggData" xfId="3222" xr:uid="{CB67FF78-D800-4B84-904C-365AA3A655BA}"/>
    <cellStyle name="SAPBEXaggData 2" xfId="3725" xr:uid="{6CDD9E98-FA75-4F8F-97DB-3FEBC735B7C6}"/>
    <cellStyle name="SAPBEXaggData 2 2" xfId="4107" xr:uid="{314B8912-641E-4607-9004-9D070277B039}"/>
    <cellStyle name="SAPBEXaggData 2 3" xfId="4085" xr:uid="{8FCBB1FD-F5D4-4369-90AE-0F17B594935A}"/>
    <cellStyle name="SAPBEXaggData 3" xfId="4200" xr:uid="{30E2D123-BC3E-44A2-8007-EA51B70E4CBE}"/>
    <cellStyle name="SAPBEXaggData 4" xfId="4271" xr:uid="{C66B1E9A-3B67-4829-8DFA-5FB473421726}"/>
    <cellStyle name="SAPBEXaggDataEmph" xfId="3223" xr:uid="{513CB868-9385-4DFF-9D7C-F2C6BAA86240}"/>
    <cellStyle name="SAPBEXaggDataEmph 2" xfId="3726" xr:uid="{4D8B07F3-B416-4005-AF55-7BA7DDA4CBBD}"/>
    <cellStyle name="SAPBEXaggDataEmph 2 2" xfId="4106" xr:uid="{75F1820C-33B8-48DF-B168-515D54741CB1}"/>
    <cellStyle name="SAPBEXaggDataEmph 2 3" xfId="4084" xr:uid="{7D045CBD-24F8-458C-9067-AF27B3A4DBE6}"/>
    <cellStyle name="SAPBEXaggDataEmph 3" xfId="4199" xr:uid="{7108B9A4-413C-48F8-89E9-20F255B90F48}"/>
    <cellStyle name="SAPBEXaggDataEmph 4" xfId="4270" xr:uid="{B50ADF53-4DF8-4761-9485-7054C2D0A14D}"/>
    <cellStyle name="SAPBEXaggItem" xfId="3224" xr:uid="{F38EA482-5D81-48C8-BCDC-6CC2342F5619}"/>
    <cellStyle name="SAPBEXaggItem 2" xfId="3727" xr:uid="{A9BDDF6C-DF17-437D-98B7-E2329D0F3227}"/>
    <cellStyle name="SAPBEXaggItem 2 2" xfId="4105" xr:uid="{5E1B9120-53D7-4AA8-9F08-23824C27CF26}"/>
    <cellStyle name="SAPBEXaggItem 2 3" xfId="4083" xr:uid="{5E31D6D4-AEAE-4D6F-A9BD-75143DB3C56D}"/>
    <cellStyle name="SAPBEXaggItem 3" xfId="4198" xr:uid="{AF5F5765-2CF4-4D9F-B77F-3298D9CA7304}"/>
    <cellStyle name="SAPBEXaggItem 4" xfId="4269" xr:uid="{03493ADE-B069-4AB1-A051-6A626F5DED15}"/>
    <cellStyle name="SAPBEXaggItemX" xfId="3225" xr:uid="{6E96F589-E575-4134-989F-7CEE8EF97E02}"/>
    <cellStyle name="SAPBEXaggItemX 2" xfId="4197" xr:uid="{24F64A54-4917-4B96-9575-4E87F2795DF1}"/>
    <cellStyle name="SAPBEXaggItemX 3" xfId="4268" xr:uid="{3EBC678A-A0E1-45D4-BAE0-7ECCCAE98C9B}"/>
    <cellStyle name="SAPBEXchaText" xfId="3226" xr:uid="{FAD483D8-942E-4B8A-A7AB-B05066272063}"/>
    <cellStyle name="SAPBEXchaText 2" xfId="3728" xr:uid="{E33A7858-69AA-4900-85EA-50C94960099C}"/>
    <cellStyle name="SAPBEXexcBad7" xfId="3227" xr:uid="{39C00FE6-1A67-440E-A503-5A0B2985689E}"/>
    <cellStyle name="SAPBEXexcBad7 2" xfId="3729" xr:uid="{DD24CD53-6CC6-4AB6-8D15-A0D497CD2C89}"/>
    <cellStyle name="SAPBEXexcBad7 2 2" xfId="4104" xr:uid="{ED96A65D-F7EA-4801-981E-9F298E0ADF6F}"/>
    <cellStyle name="SAPBEXexcBad7 2 3" xfId="4132" xr:uid="{4E05ACB0-E318-43C5-82FA-C531E58AD37B}"/>
    <cellStyle name="SAPBEXexcBad7 3" xfId="4196" xr:uid="{F06615E4-CEFB-4AA5-8977-4264BAE593F6}"/>
    <cellStyle name="SAPBEXexcBad7 4" xfId="4267" xr:uid="{CEE30607-1186-4D6E-A4E0-1024C7130555}"/>
    <cellStyle name="SAPBEXexcBad8" xfId="3228" xr:uid="{F6BBDFCD-962E-4733-9935-C8001E0A1A86}"/>
    <cellStyle name="SAPBEXexcBad8 2" xfId="3730" xr:uid="{5A05253E-18D5-45A3-B4EC-20398471C136}"/>
    <cellStyle name="SAPBEXexcBad8 2 2" xfId="4103" xr:uid="{067E20F4-D508-4D67-B405-F51D4FF79193}"/>
    <cellStyle name="SAPBEXexcBad8 2 3" xfId="4082" xr:uid="{0B982F90-053D-46EB-B0DB-8E5987B9A1AF}"/>
    <cellStyle name="SAPBEXexcBad8 3" xfId="4195" xr:uid="{1E4FE657-9917-411D-903C-8DB8E03AF8F7}"/>
    <cellStyle name="SAPBEXexcBad8 4" xfId="4266" xr:uid="{E506C142-57AA-4F0D-ADB1-3A102422B350}"/>
    <cellStyle name="SAPBEXexcBad9" xfId="3229" xr:uid="{A1B8D152-BADE-4417-AD81-7F576291BAA9}"/>
    <cellStyle name="SAPBEXexcBad9 2" xfId="3731" xr:uid="{0D8E36FD-482F-479F-A0D9-A430528E0A07}"/>
    <cellStyle name="SAPBEXexcBad9 2 2" xfId="4102" xr:uid="{F2D34C2B-4801-47BC-8F0B-43DD8C521F26}"/>
    <cellStyle name="SAPBEXexcBad9 2 3" xfId="4081" xr:uid="{F2EC937D-27AC-4B3E-B1EB-C91ACFA6C58F}"/>
    <cellStyle name="SAPBEXexcBad9 3" xfId="4194" xr:uid="{6F64DEB7-1EF0-44CC-8FF6-976D429B046A}"/>
    <cellStyle name="SAPBEXexcBad9 4" xfId="4265" xr:uid="{4FE0824C-B94A-46DA-BC9E-A7C660475EE6}"/>
    <cellStyle name="SAPBEXexcCritical4" xfId="3230" xr:uid="{8C268CDD-01F2-449F-873F-AAA12D26BEAB}"/>
    <cellStyle name="SAPBEXexcCritical4 2" xfId="3732" xr:uid="{2D124DED-CA28-4762-A60C-7B17B772DD2D}"/>
    <cellStyle name="SAPBEXexcCritical4 2 2" xfId="4101" xr:uid="{1A35FD63-21CC-43F3-A765-3CB4CFE50C53}"/>
    <cellStyle name="SAPBEXexcCritical4 2 3" xfId="4080" xr:uid="{A570EC54-6657-47B0-B461-1FF40F67F627}"/>
    <cellStyle name="SAPBEXexcCritical4 3" xfId="4193" xr:uid="{1FCABF53-DC4B-4E5B-BAB0-39E6C4DC97FB}"/>
    <cellStyle name="SAPBEXexcCritical4 4" xfId="4264" xr:uid="{E135D763-D43F-4FFE-B95A-A8BEEB548855}"/>
    <cellStyle name="SAPBEXexcCritical5" xfId="3231" xr:uid="{A517868D-2B30-41CA-BBB8-9EF1127824C2}"/>
    <cellStyle name="SAPBEXexcCritical5 2" xfId="3733" xr:uid="{0313BF40-1B5F-4C30-B94B-73A4011D4086}"/>
    <cellStyle name="SAPBEXexcCritical5 2 2" xfId="4100" xr:uid="{2A6EFCAD-2FCC-408C-8FB3-76F13457E306}"/>
    <cellStyle name="SAPBEXexcCritical5 2 3" xfId="4079" xr:uid="{63D57416-C03F-4F84-8CD7-07A38F08F7CF}"/>
    <cellStyle name="SAPBEXexcCritical5 3" xfId="4192" xr:uid="{057E1277-E0BA-4A36-A8C5-729CFBA073A6}"/>
    <cellStyle name="SAPBEXexcCritical5 4" xfId="4263" xr:uid="{BE16E0EE-38FB-42FC-9DEA-273097417898}"/>
    <cellStyle name="SAPBEXexcCritical6" xfId="3232" xr:uid="{170C879E-BB98-4EF7-A53C-4552C1EA1C69}"/>
    <cellStyle name="SAPBEXexcCritical6 2" xfId="3734" xr:uid="{19202B95-C088-4D5C-9634-CFDB3A36449A}"/>
    <cellStyle name="SAPBEXexcCritical6 2 2" xfId="4099" xr:uid="{1747D94B-F14D-493C-B32F-C51C5951486C}"/>
    <cellStyle name="SAPBEXexcCritical6 2 3" xfId="4078" xr:uid="{A646E29F-E6CA-46B9-81B8-170CEA85EF1B}"/>
    <cellStyle name="SAPBEXexcCritical6 3" xfId="4191" xr:uid="{6285CB03-B777-4633-BB52-3FE7290854B9}"/>
    <cellStyle name="SAPBEXexcCritical6 4" xfId="4323" xr:uid="{DC4CC01D-423B-4C6F-BB07-6094CB7292F0}"/>
    <cellStyle name="SAPBEXexcGood1" xfId="3233" xr:uid="{7DA3EF09-2259-4045-8499-F2DEF8EDBA8A}"/>
    <cellStyle name="SAPBEXexcGood1 2" xfId="3735" xr:uid="{850D2BD8-4176-4350-995F-032BDEF4F107}"/>
    <cellStyle name="SAPBEXexcGood1 2 2" xfId="4098" xr:uid="{05471BD2-0382-4055-AE76-306F8B925CFC}"/>
    <cellStyle name="SAPBEXexcGood1 2 3" xfId="4331" xr:uid="{27CEA7A8-9DBF-43AA-A919-FA4128A60415}"/>
    <cellStyle name="SAPBEXexcGood1 3" xfId="4190" xr:uid="{AC1BCC25-56A7-4A4D-ACC1-02DBD722AA50}"/>
    <cellStyle name="SAPBEXexcGood1 4" xfId="4262" xr:uid="{A3B9B8F9-739A-4CD3-82AB-4D3C3D502A17}"/>
    <cellStyle name="SAPBEXexcGood2" xfId="3234" xr:uid="{E24B2237-3CCB-49A7-B56B-11AF8019291E}"/>
    <cellStyle name="SAPBEXexcGood2 2" xfId="3736" xr:uid="{3652CE57-6CF9-45FE-8356-46134190F89F}"/>
    <cellStyle name="SAPBEXexcGood2 2 2" xfId="4097" xr:uid="{C7870219-F378-4D21-8087-F7A7466EA593}"/>
    <cellStyle name="SAPBEXexcGood2 2 3" xfId="4077" xr:uid="{25A81AAD-E15D-476F-967F-F83163D3DB1A}"/>
    <cellStyle name="SAPBEXexcGood2 3" xfId="4189" xr:uid="{03464733-F820-4E28-8E9F-1C3C497C695E}"/>
    <cellStyle name="SAPBEXexcGood2 4" xfId="4116" xr:uid="{D3824B8C-6ABA-473A-AA80-9D6C1098C8DA}"/>
    <cellStyle name="SAPBEXexcGood3" xfId="3235" xr:uid="{28BC1642-8C2A-4814-9A27-CC71D5A15379}"/>
    <cellStyle name="SAPBEXexcGood3 2" xfId="3737" xr:uid="{90BB1F60-0E0A-4E68-8241-3F37BE69135A}"/>
    <cellStyle name="SAPBEXexcGood3 2 2" xfId="4096" xr:uid="{6CA2EF0D-BC5B-4B92-B2ED-699738F488D2}"/>
    <cellStyle name="SAPBEXexcGood3 2 3" xfId="4076" xr:uid="{46651E24-8136-4104-A321-2D2377562708}"/>
    <cellStyle name="SAPBEXexcGood3 3" xfId="4188" xr:uid="{563F056E-4640-451C-BDA5-22961B5347AF}"/>
    <cellStyle name="SAPBEXexcGood3 4" xfId="4261" xr:uid="{E7FD3743-ACC4-4EF7-A4FB-968C8145F22C}"/>
    <cellStyle name="SAPBEXfilterDrill" xfId="3236" xr:uid="{83828A57-9C0E-4206-8EAF-B9C8FFA0740C}"/>
    <cellStyle name="SAPBEXfilterDrill 2" xfId="3738" xr:uid="{9ECA0060-27E7-46C5-B082-C303C8C4F3E1}"/>
    <cellStyle name="SAPBEXfilterDrill 2 2" xfId="4337" xr:uid="{97B88FE3-9EC5-419E-9D42-B4C4203F8FC4}"/>
    <cellStyle name="SAPBEXfilterDrill 3" xfId="4043" xr:uid="{BA1BB1AD-5F9D-4A6C-9993-35DA36076F77}"/>
    <cellStyle name="SAPBEXfilterDrill 4" xfId="4316" xr:uid="{15F3084B-0CD8-4084-A505-4C01A5673F85}"/>
    <cellStyle name="SAPBEXfilterItem" xfId="3237" xr:uid="{A4BFE1E9-4ECE-4CFE-9143-C14257B78CB8}"/>
    <cellStyle name="SAPBEXfilterItem 2" xfId="3739" xr:uid="{3F57DD0E-2AED-48E5-8C1A-51F90BE37DDC}"/>
    <cellStyle name="SAPBEXfilterText" xfId="3238" xr:uid="{03722F68-96E5-4D0B-B0E8-F432A8C197BC}"/>
    <cellStyle name="SAPBEXformats" xfId="3239" xr:uid="{C16C47B1-CE5E-438E-8091-75A88CACBDAA}"/>
    <cellStyle name="SAPBEXformats 2" xfId="3740" xr:uid="{0ED0E8A5-BC3E-4590-8F95-638874416A0E}"/>
    <cellStyle name="SAPBEXformats 2 2" xfId="4095" xr:uid="{48D04B8A-689F-4061-A846-3659B4C28307}"/>
    <cellStyle name="SAPBEXformats 2 3" xfId="4075" xr:uid="{94C42376-505F-4085-8B6C-FDFCC15A7361}"/>
    <cellStyle name="SAPBEXformats 3" xfId="4187" xr:uid="{EFA749FC-D6E3-4057-BEB0-C4B2BA345DD8}"/>
    <cellStyle name="SAPBEXformats 4" xfId="4260" xr:uid="{10A24A66-35EF-46D9-9405-F86E74559A34}"/>
    <cellStyle name="SAPBEXheaderItem" xfId="3240" xr:uid="{6496F25A-90EE-460F-9C87-CCCEDC17CC86}"/>
    <cellStyle name="SAPBEXheaderItem 2" xfId="3741" xr:uid="{AEAEDC97-904A-4B75-8786-3AF958CEC948}"/>
    <cellStyle name="SAPBEXheaderText" xfId="3241" xr:uid="{02D04A54-87C5-4E4B-91E3-F336F8FD274A}"/>
    <cellStyle name="SAPBEXheaderText 2" xfId="3742" xr:uid="{52F7B874-773A-4B7D-BA73-EF90E586DE33}"/>
    <cellStyle name="SAPBEXHLevel0" xfId="3242" xr:uid="{75F06526-FC87-4A22-A2A4-EA97A6A38F86}"/>
    <cellStyle name="SAPBEXHLevel0 2" xfId="4186" xr:uid="{0233DD8F-B221-4A59-A6A7-3743F91E69F0}"/>
    <cellStyle name="SAPBEXHLevel0 3" xfId="4115" xr:uid="{0C0FCA31-8340-4E11-8151-2919B2DFFE45}"/>
    <cellStyle name="SAPBEXHLevel0X" xfId="3243" xr:uid="{6D6754F8-1FB5-4BBF-8B7F-FE946F1A6091}"/>
    <cellStyle name="SAPBEXHLevel0X 2" xfId="4185" xr:uid="{484A0678-5C3D-4887-9A59-A6DD60041B8A}"/>
    <cellStyle name="SAPBEXHLevel0X 3" xfId="4259" xr:uid="{E02E83C1-76EC-4A07-ABAA-A3E33018F5F1}"/>
    <cellStyle name="SAPBEXHLevel1" xfId="3244" xr:uid="{E20EDBC2-92FB-4B58-84EB-12437D45A628}"/>
    <cellStyle name="SAPBEXHLevel1 2" xfId="4184" xr:uid="{71CD217A-2366-44E0-A4F2-98D013B673C8}"/>
    <cellStyle name="SAPBEXHLevel1 3" xfId="4114" xr:uid="{E441F1F9-0821-46FA-AF94-C2F9CCE10B25}"/>
    <cellStyle name="SAPBEXHLevel1X" xfId="3245" xr:uid="{D2C133C2-2C0A-4CF8-8989-6104107B984A}"/>
    <cellStyle name="SAPBEXHLevel1X 2" xfId="4183" xr:uid="{3D7632D7-1978-4CB7-9EF4-5A7559AEFF34}"/>
    <cellStyle name="SAPBEXHLevel1X 3" xfId="4258" xr:uid="{5B3840E1-277E-4E28-9DDC-6A346720B435}"/>
    <cellStyle name="SAPBEXHLevel2" xfId="3246" xr:uid="{48D7454C-3AE5-48E8-99C0-067E878CC83D}"/>
    <cellStyle name="SAPBEXHLevel2 2" xfId="4182" xr:uid="{5187CC4B-10FF-40E3-AE97-F47B981B23C6}"/>
    <cellStyle name="SAPBEXHLevel2 3" xfId="4113" xr:uid="{42D8E0B6-F384-4E82-BEC5-23FFD4EF3CB5}"/>
    <cellStyle name="SAPBEXHLevel2X" xfId="3247" xr:uid="{1E241EE0-02F6-4A2B-87DD-9DB862CE0649}"/>
    <cellStyle name="SAPBEXHLevel2X 2" xfId="4181" xr:uid="{60BB1F63-C64E-46A0-B1BC-8C4CC6091B57}"/>
    <cellStyle name="SAPBEXHLevel2X 3" xfId="4257" xr:uid="{9FE7AC51-A780-4BEE-B13F-12F44FCD863D}"/>
    <cellStyle name="SAPBEXHLevel3" xfId="3248" xr:uid="{91FB63A0-FE6A-43CD-AD8E-32A6EC7069D1}"/>
    <cellStyle name="SAPBEXHLevel3 2" xfId="4180" xr:uid="{F64B6D55-B539-42E5-840F-4923AC8C000D}"/>
    <cellStyle name="SAPBEXHLevel3 3" xfId="4112" xr:uid="{C9DF3747-5596-43F0-93CA-76F816037C9C}"/>
    <cellStyle name="SAPBEXHLevel3X" xfId="3249" xr:uid="{A13AB45D-A2B2-406E-9AC0-FCA5659DBF21}"/>
    <cellStyle name="SAPBEXHLevel3X 2" xfId="4179" xr:uid="{CCE6D7FB-705C-4404-8545-B4538620C901}"/>
    <cellStyle name="SAPBEXHLevel3X 3" xfId="4434" xr:uid="{131E37B6-15D5-4976-A316-C32197230D09}"/>
    <cellStyle name="SAPBEXresData" xfId="3250" xr:uid="{78699862-70A8-4A0B-989C-0512B62819DC}"/>
    <cellStyle name="SAPBEXresData 2" xfId="3743" xr:uid="{8711DA9B-1881-472A-909D-662C539B9CDB}"/>
    <cellStyle name="SAPBEXresData 2 2" xfId="4094" xr:uid="{995EDAEC-27EC-4F5A-8967-FEE8437AAEAA}"/>
    <cellStyle name="SAPBEXresData 2 3" xfId="4074" xr:uid="{D16EF109-5946-4A52-90C7-B466BD56D333}"/>
    <cellStyle name="SAPBEXresData 3" xfId="4178" xr:uid="{7542EC8B-3177-42B4-A7F8-82E1C7544B86}"/>
    <cellStyle name="SAPBEXresData 4" xfId="4435" xr:uid="{DE52F2E8-00F4-41C1-A6CD-F84BBF92636B}"/>
    <cellStyle name="SAPBEXresDataEmph" xfId="3251" xr:uid="{2F88A8CB-239E-4B0B-AC31-DB1BF91DF6DA}"/>
    <cellStyle name="SAPBEXresDataEmph 2" xfId="3744" xr:uid="{D5A5036B-BDAD-4D58-B31E-B040724CF5F5}"/>
    <cellStyle name="SAPBEXresDataEmph 2 2" xfId="4093" xr:uid="{4C355C0F-C9F5-4C30-B1C2-192F5B5792AA}"/>
    <cellStyle name="SAPBEXresDataEmph 2 3" xfId="4073" xr:uid="{40A6E10F-9B33-4FC6-9937-DB74B6240DAB}"/>
    <cellStyle name="SAPBEXresDataEmph 3" xfId="4177" xr:uid="{BEDC1904-76A8-438C-A3D3-8D9D40595FBC}"/>
    <cellStyle name="SAPBEXresDataEmph 4" xfId="4436" xr:uid="{27A436E3-72E6-44BF-8252-A9E3C28B665F}"/>
    <cellStyle name="SAPBEXresItem" xfId="3252" xr:uid="{8A622F67-E26C-4FCA-AA73-6959A1864865}"/>
    <cellStyle name="SAPBEXresItem 2" xfId="3745" xr:uid="{4371FAD0-F4F0-4A4B-BABF-E7100373EEC2}"/>
    <cellStyle name="SAPBEXresItem 2 2" xfId="4092" xr:uid="{C552E868-7F79-402D-A432-41CDE9B4B72F}"/>
    <cellStyle name="SAPBEXresItem 2 3" xfId="4072" xr:uid="{79A56876-1FA4-493F-AA2D-18BE06B664FD}"/>
    <cellStyle name="SAPBEXresItem 3" xfId="4176" xr:uid="{9A7A01FE-EDAF-46D9-9CBE-5944CF0FD41C}"/>
    <cellStyle name="SAPBEXresItem 4" xfId="4256" xr:uid="{38277081-C97B-4E54-9E12-54FBDBEA8337}"/>
    <cellStyle name="SAPBEXresItemX" xfId="3253" xr:uid="{6F50163F-C448-4C8F-9E2F-40BC293439F4}"/>
    <cellStyle name="SAPBEXresItemX 2" xfId="4175" xr:uid="{DAAEB2A9-BA78-48A8-A342-C4667E539C8D}"/>
    <cellStyle name="SAPBEXresItemX 3" xfId="4255" xr:uid="{B6EBB413-F89C-4FC6-84CF-6B86B2364585}"/>
    <cellStyle name="SAPBEXstdData" xfId="3254" xr:uid="{1F7016A2-8B6F-4616-8F92-6D52CD8A0FF2}"/>
    <cellStyle name="SAPBEXstdData 2" xfId="3746" xr:uid="{6351DC06-368B-41A5-8668-D6B57A2FF3AF}"/>
    <cellStyle name="SAPBEXstdData 2 2" xfId="4091" xr:uid="{C42FCB8B-05D6-45D3-9AB9-72B9B561DADC}"/>
    <cellStyle name="SAPBEXstdData 2 3" xfId="4071" xr:uid="{B7F3551A-8B54-42C8-BBD5-80A117D3F776}"/>
    <cellStyle name="SAPBEXstdData 3" xfId="4174" xr:uid="{13EFF98A-8AA3-4AD3-9AA5-2F41FFD03ED3}"/>
    <cellStyle name="SAPBEXstdData 4" xfId="4111" xr:uid="{E90E6B34-D6D7-4886-9839-2B6471A5F093}"/>
    <cellStyle name="SAPBEXstdDataEmph" xfId="3255" xr:uid="{D63F47BB-D2DA-4D39-A609-6426918F9840}"/>
    <cellStyle name="SAPBEXstdDataEmph 2" xfId="3747" xr:uid="{6603417A-27DE-4598-BB70-1B44A351D15C}"/>
    <cellStyle name="SAPBEXstdDataEmph 2 2" xfId="4090" xr:uid="{500CEDBB-52A5-4587-A892-4037B9734DD3}"/>
    <cellStyle name="SAPBEXstdDataEmph 2 3" xfId="4070" xr:uid="{D40C79BA-6107-4BC5-95E4-381C1B53A123}"/>
    <cellStyle name="SAPBEXstdDataEmph 3" xfId="4173" xr:uid="{FA5EA849-BD38-46C6-97E3-C71B4AEB1D2C}"/>
    <cellStyle name="SAPBEXstdDataEmph 4" xfId="4119" xr:uid="{4F51F546-590F-41A9-A1C4-D9326718F1DC}"/>
    <cellStyle name="SAPBEXstdItem" xfId="3256" xr:uid="{939D4E9F-3D42-4B5C-BF77-BE0E63845D67}"/>
    <cellStyle name="SAPBEXstdItem 2" xfId="3748" xr:uid="{5B6F2A15-B4EA-4F8A-AC02-A7DFCAE94B4F}"/>
    <cellStyle name="SAPBEXstdItem 2 2" xfId="4089" xr:uid="{D1D6C732-EF96-4901-AD67-02C30B0E0DFA}"/>
    <cellStyle name="SAPBEXstdItem 2 3" xfId="4069" xr:uid="{89B3DF81-F91B-4522-B28B-B04BBB378FCA}"/>
    <cellStyle name="SAPBEXstdItem 3" xfId="4172" xr:uid="{89A139E1-0810-4A30-8258-49F9488638BB}"/>
    <cellStyle name="SAPBEXstdItem 4" xfId="4110" xr:uid="{E2B637A4-2A6B-46BB-8E0A-5E5F6FE6345F}"/>
    <cellStyle name="SAPBEXstdItemX" xfId="3257" xr:uid="{859296A2-DAB0-40C9-833F-FEDED81B4C70}"/>
    <cellStyle name="SAPBEXstdItemX 2" xfId="4171" xr:uid="{EB418F1E-F9C6-45D7-A8A5-E43FAF92AD62}"/>
    <cellStyle name="SAPBEXstdItemX 3" xfId="4254" xr:uid="{5E92F703-2B1E-4B6B-9004-BBD19D5138AD}"/>
    <cellStyle name="SAPBEXtitle" xfId="3258" xr:uid="{0598D0E2-D606-40D4-8EF4-43DBCEE56FAE}"/>
    <cellStyle name="SAPBEXtitle 2" xfId="3749" xr:uid="{19E5BDE5-98A4-47B5-8A3C-77DFE8FFBAE2}"/>
    <cellStyle name="SAPBEXtitle 2 2" xfId="4088" xr:uid="{9675FA7A-B827-497C-A1A0-6DA3FD5C6041}"/>
    <cellStyle name="SAPBEXtitle 2 3" xfId="4068" xr:uid="{B3C09CEE-7D75-4DA4-883A-C0D4965D7AF4}"/>
    <cellStyle name="SAPBEXundefined" xfId="3259" xr:uid="{3B644223-BB23-4788-8412-747C1A6A4A1D}"/>
    <cellStyle name="SAPBEXundefined 2" xfId="3750" xr:uid="{139ED2F3-7AA4-4DD0-9A2B-EF60C3B62D0A}"/>
    <cellStyle name="SAPBEXundefined 2 2" xfId="4087" xr:uid="{A0B5440E-9D83-451C-BA99-563566CB0178}"/>
    <cellStyle name="SAPBEXundefined 2 3" xfId="4067" xr:uid="{94A7190D-3088-48DA-8703-8B31177A9AD0}"/>
    <cellStyle name="SAPBEXundefined 3" xfId="4170" xr:uid="{4F401A16-DC28-4AC2-9B4B-33FD060F8E23}"/>
    <cellStyle name="SAPBEXundefined 4" xfId="4109" xr:uid="{83D893A4-CEDB-43F0-A457-C29FF983B4F9}"/>
    <cellStyle name="sbt2" xfId="3260" xr:uid="{86B9C2EC-4376-461D-AA4A-95D213F0465C}"/>
    <cellStyle name="ScotchRule" xfId="3261" xr:uid="{1E74F872-44FF-4CA2-8494-8EADB28D23A6}"/>
    <cellStyle name="ScotchRule 2" xfId="3560" xr:uid="{8E9A103E-45C3-449B-8C30-2D9823AA9587}"/>
    <cellStyle name="ScripFactor" xfId="3262" xr:uid="{C965DCDB-F754-45CC-A98D-DE33EBB184B2}"/>
    <cellStyle name="sd" xfId="3263" xr:uid="{36DB27FE-0DFB-4062-8615-3F4ACF5F7CB1}"/>
    <cellStyle name="SECTION TITLE" xfId="3264" xr:uid="{04422352-30B6-4A6E-B302-9EB88DA0AF34}"/>
    <cellStyle name="SectionHeading" xfId="3265" xr:uid="{42B9231C-D84B-4D56-A6E8-34105783C606}"/>
    <cellStyle name="sf" xfId="3266" xr:uid="{4FA31E5C-D46D-44F7-AA67-9391D79E2823}"/>
    <cellStyle name="sff" xfId="3267" xr:uid="{77A1B153-D3E2-416D-A1BD-2B13D2F2351E}"/>
    <cellStyle name="Shaded" xfId="3268" xr:uid="{CE0D66B5-9FE5-4E3B-8775-CBC0E2C496E4}"/>
    <cellStyle name="Shading" xfId="3269" xr:uid="{53AAED9F-156A-44A1-B5E3-684EB0EC50FF}"/>
    <cellStyle name="Shares" xfId="3270" xr:uid="{D9D5EE5D-614C-410B-8698-DB943C10E3BF}"/>
    <cellStyle name="Sheet Title" xfId="3271" xr:uid="{9A8CF63C-7A76-4D48-A3E7-D32F885DF99A}"/>
    <cellStyle name="Short $" xfId="3272" xr:uid="{DB30ABDC-7EBD-44AD-A154-1843A2D4C259}"/>
    <cellStyle name="Single Accounting" xfId="3273" xr:uid="{68179651-640B-4A63-9B62-A95E4B0C9150}"/>
    <cellStyle name="Single Cell Column Heading" xfId="3274" xr:uid="{A5B4D177-B928-4D82-B906-D401AB9DA016}"/>
    <cellStyle name="Single Cell Column Heading 3 3" xfId="3275" xr:uid="{90EB6233-C2D8-4F93-9C54-5D427266B933}"/>
    <cellStyle name="SpecialHeader" xfId="3751" xr:uid="{38885B0E-F984-4F58-966E-819D332FD837}"/>
    <cellStyle name="ss" xfId="3276" xr:uid="{707CA129-0533-4B0C-93F5-2AB4E8DA3358}"/>
    <cellStyle name="ss0" xfId="3277" xr:uid="{9D0B4536-5E82-4E18-A8E2-3C8D506EE1D0}"/>
    <cellStyle name="ss0 2" xfId="4312" xr:uid="{687937D6-EEC6-455A-8AE0-D6F557CA1A6D}"/>
    <cellStyle name="ss0 3" xfId="4253" xr:uid="{8FECF357-6014-4BB3-BC32-4D87EBFA2A23}"/>
    <cellStyle name="ss1" xfId="3278" xr:uid="{9B734E0B-2382-4D5F-9655-243A843014C2}"/>
    <cellStyle name="ss1 2" xfId="4313" xr:uid="{C543145B-FBCF-4D09-AC63-ED239CFE86D0}"/>
    <cellStyle name="ss1 3" xfId="4108" xr:uid="{44AE4CB3-575E-4326-B797-F815EF6FB87F}"/>
    <cellStyle name="ss2" xfId="3279" xr:uid="{6856F78F-CD0A-43F2-B096-9CBFFC10E034}"/>
    <cellStyle name="ss2 2" xfId="4314" xr:uid="{02681BA9-2E6E-4047-95BE-800F6DE82860}"/>
    <cellStyle name="ss2 2 2" xfId="4717" xr:uid="{D47DB314-C1FB-4A47-88E8-36FEEC94F4D9}"/>
    <cellStyle name="ss2 2 2 2" xfId="4795" xr:uid="{D284046C-6756-4A52-ABD5-CABAD35FBABB}"/>
    <cellStyle name="ss2 3" xfId="4252" xr:uid="{B4A4BE59-0CC2-4829-9078-77CD5305A17D}"/>
    <cellStyle name="ss2 3 2" xfId="4714" xr:uid="{0EB492EB-7FD1-41BD-BB7F-D5310B90F5C5}"/>
    <cellStyle name="ss2 3 2 2" xfId="4792" xr:uid="{0D90353F-E9B3-4BF0-9478-D5EAF9642A28}"/>
    <cellStyle name="ss2 4" xfId="4698" xr:uid="{3996832C-5448-4DD2-8D0A-82C424395D01}"/>
    <cellStyle name="ss2 4 2" xfId="4776" xr:uid="{281E0809-E677-4FFF-A463-DD28B357385D}"/>
    <cellStyle name="ssp " xfId="3280" xr:uid="{66D6255A-F0C6-47E1-829F-FAB69E228DAA}"/>
    <cellStyle name="ssp  2" xfId="4167" xr:uid="{D5A25E57-D6D4-49E9-9784-E4FAD7BA7323}"/>
    <cellStyle name="st" xfId="3281" xr:uid="{D60E4EFF-B611-4363-8906-CD8F4178C9AF}"/>
    <cellStyle name="Standaard_laroux" xfId="3282" xr:uid="{003CFEBC-4C50-4C53-BDF2-94693E58E4FC}"/>
    <cellStyle name="Standard_airt-rev" xfId="3283" xr:uid="{43244635-809C-4833-8818-240566397F54}"/>
    <cellStyle name="style" xfId="3284" xr:uid="{B2BC19A9-138F-42BB-8F6E-50901D6F9AF9}"/>
    <cellStyle name="Style 1" xfId="3285" xr:uid="{D25DA53F-EC29-4387-B0FE-4AC72E2FC59E}"/>
    <cellStyle name="Style 235" xfId="3286" xr:uid="{63E6CCC8-14ED-480E-B239-C4E4C51F0A3E}"/>
    <cellStyle name="Style 235 2" xfId="4318" xr:uid="{F302D9A3-2C5F-4228-9810-DF3F2A0D586B}"/>
    <cellStyle name="Style 236" xfId="3287" xr:uid="{338C0B61-5121-4D97-83C0-3811E5B33ACF}"/>
    <cellStyle name="style1" xfId="3288" xr:uid="{B33038F8-FF0B-47A9-BAB0-4839ABCF6385}"/>
    <cellStyle name="style2" xfId="3289" xr:uid="{3717D0BE-BDE5-4632-9980-2EC8FB93B6C2}"/>
    <cellStyle name="subhead" xfId="3290" xr:uid="{1B04C86A-A5FD-498D-B111-3A54AA56C320}"/>
    <cellStyle name="SubHeader" xfId="3752" xr:uid="{0F4251FC-C9A1-43DC-B844-EA663B60310F}"/>
    <cellStyle name="subt1" xfId="3291" xr:uid="{1BA742A1-9861-4988-A63F-87E0262EC867}"/>
    <cellStyle name="Subtitle" xfId="3292" xr:uid="{E3140FEC-4166-4F91-A934-042585743CBA}"/>
    <cellStyle name="Subtotal" xfId="3293" xr:uid="{B18936B9-CCC1-495C-B8E6-DA5D781BA537}"/>
    <cellStyle name="SubTotal 2" xfId="3753" xr:uid="{57FCE35F-67F0-4213-AAAD-FC64AA3298FF}"/>
    <cellStyle name="Summary" xfId="3294" xr:uid="{E73BABCB-165A-478C-B996-9F9550F24E67}"/>
    <cellStyle name="t" xfId="3295" xr:uid="{58AD689B-10DD-410A-BAA6-73C8E0B4E0BE}"/>
    <cellStyle name="T 2" xfId="3754" xr:uid="{2ECA5566-181F-462A-B763-EDAF16B13052}"/>
    <cellStyle name="t 3" xfId="4166" xr:uid="{D4005ECC-A0DB-45C4-967F-1B0EA1BA9DDF}"/>
    <cellStyle name="t 4" xfId="4315" xr:uid="{3EA96DB9-D30C-418C-BB95-DE13B9324438}"/>
    <cellStyle name="t 5" xfId="4251" xr:uid="{BCE1BA7F-2FB7-4B08-82B0-2C8D24D669A7}"/>
    <cellStyle name="t#" xfId="3296" xr:uid="{23553DD0-1790-42B8-8706-F5D4732509A2}"/>
    <cellStyle name="t_AlternCarriersComps 14 09" xfId="3297" xr:uid="{2D710216-0C21-4934-BF31-990736628B5A}"/>
    <cellStyle name="t_AlternCarriersComps 14 09 2" xfId="4165" xr:uid="{68992848-D408-496A-97EC-6E729BD24FA7}"/>
    <cellStyle name="t_Benoit  Benchmarking Nov 02" xfId="3298" xr:uid="{715620D7-707E-488E-979A-3D792866DDC5}"/>
    <cellStyle name="t_Benoit  Benchmarking Nov 02 2" xfId="4164" xr:uid="{1CE9235E-EBFE-46C0-90DC-C4BC22D2DFFC}"/>
    <cellStyle name="t_Bullet model 122" xfId="3299" xr:uid="{0FC8A182-3F61-4339-ABDE-F32E1B3A8B33}"/>
    <cellStyle name="t_Bullet model 122 2" xfId="4163" xr:uid="{1DED0387-09FE-4BE2-8199-AF7D3F2240C5}"/>
    <cellStyle name="t_Comps for Market Update 11 July 2001" xfId="3300" xr:uid="{468E4934-28A2-42BA-9022-FDDDB2D889CC}"/>
    <cellStyle name="t_Comps for Market Update 11 July 2001 2" xfId="4162" xr:uid="{8C37CEA9-766B-40B0-B956-B37710ADD308}"/>
    <cellStyle name="t_DCF Assumptions Benchmarking (Nov 02) " xfId="3301" xr:uid="{469DDCF9-AADF-4389-89DC-54AEE37E7DD8}"/>
    <cellStyle name="t_DCF Assumptions Benchmarking (Nov 02)  2" xfId="4161" xr:uid="{4DC0C50F-DEAA-42D9-B4F7-C435B0F0A924}"/>
    <cellStyle name="t_Forest Alt Net+IT Comps" xfId="3302" xr:uid="{2B9078FD-CB26-43D8-BAEB-F61E982165F8}"/>
    <cellStyle name="t_Forest Alt Net+IT Comps 2" xfId="4160" xr:uid="{1AEDF585-9E67-41AF-AEA2-C0FD68DF3CC7}"/>
    <cellStyle name="t_Manager" xfId="3303" xr:uid="{CA48FD8C-EB6F-4437-87E6-0B036C63C990}"/>
    <cellStyle name="t_Manager 2" xfId="4159" xr:uid="{0446B71A-094A-4D40-9F18-F4ABE71FE4CD}"/>
    <cellStyle name="t_Manager_Project Norway model v20 (consolidated cash)" xfId="3304" xr:uid="{A741C2A4-51DB-41E7-9051-974A824871FA}"/>
    <cellStyle name="t_Manager_Project Norway model v20 (consolidated cash) 2" xfId="4158" xr:uid="{C86EF680-7E9D-4BAE-90BC-1F58B4C006F6}"/>
    <cellStyle name="t_Manager_Project Norway model v28" xfId="3305" xr:uid="{864DA3AA-7990-4AF1-980E-BBBCA24D7C50}"/>
    <cellStyle name="t_Manager_Project Norway model v28 2" xfId="4157" xr:uid="{B4CA5626-2472-44CD-9086-BF04B23755A8}"/>
    <cellStyle name="t_Manager_Project Norway model v33" xfId="3306" xr:uid="{0159AAC6-4535-43DE-912C-4C66006AE1AB}"/>
    <cellStyle name="t_Manager_Project Norway model v33 2" xfId="4156" xr:uid="{401A698A-C61C-47F7-9C53-5867092092EF}"/>
    <cellStyle name="t_Manager_Project Norway model v46" xfId="3307" xr:uid="{76508735-E0BE-43EF-B25B-DDF73759D818}"/>
    <cellStyle name="t_Manager_Project Norway model v46 2" xfId="4155" xr:uid="{B3A3C7DC-CB14-4910-BC51-C15DA62F6D60}"/>
    <cellStyle name="t_marlswat" xfId="3308" xr:uid="{4DB8CE81-7F91-4B12-B406-45D29552B5A4}"/>
    <cellStyle name="t_marlswat 2" xfId="4154" xr:uid="{CF37610A-83C1-442F-94B7-7CD03FE91F89}"/>
    <cellStyle name="t_ML_C34.XLS Chart 2" xfId="3309" xr:uid="{92BA4EF9-267C-48A1-8C98-F615CEB7695E}"/>
    <cellStyle name="t_ML_C34.XLS Chart 2 2" xfId="4153" xr:uid="{235B5BCF-3F7B-4D91-81E2-D0781542E95A}"/>
    <cellStyle name="t_nav rioja2" xfId="3310" xr:uid="{B663B7DE-885C-4EF1-835F-B7AE08F1B726}"/>
    <cellStyle name="t_nav rioja2 2" xfId="4152" xr:uid="{BD84122C-44E8-4FE7-BD10-EF3FF94A8FBD}"/>
    <cellStyle name="t_nav venus2" xfId="3311" xr:uid="{F620BAC5-16B5-4668-8488-74CC97BDCC29}"/>
    <cellStyle name="t_nav venus2 2" xfId="4151" xr:uid="{7045772B-9881-4A3B-B7A1-22FAA033CF38}"/>
    <cellStyle name="t_new_Dragon Comps (Post Tivoli Update) v2 24 sep" xfId="3312" xr:uid="{D1EEBE5A-D6F4-4355-B1C6-20566E528177}"/>
    <cellStyle name="t_new_Dragon Comps (Post Tivoli Update) v2 24 sep 2" xfId="4150" xr:uid="{DC77B9DB-7BC1-498E-B48D-E2DB4E113D99}"/>
    <cellStyle name="t_Valo_Science_1904" xfId="3313" xr:uid="{C0B2A421-176B-4E41-A059-CC431556FE24}"/>
    <cellStyle name="t_Valo_Science_1904 2" xfId="4149" xr:uid="{589F6A4D-2A48-4481-9EBD-DBA68232836D}"/>
    <cellStyle name="t_Valuation Model v1" xfId="3314" xr:uid="{D637A2FF-71E0-4D9C-A29D-9601D12941B9}"/>
    <cellStyle name="t_Valuation Model v1 2" xfId="4148" xr:uid="{3DAEB600-D72D-4B41-9C64-80B2DA0DD42A}"/>
    <cellStyle name="t_WACC benchmarking" xfId="3315" xr:uid="{92A7A878-64EC-42D5-B99F-5D44E7A46701}"/>
    <cellStyle name="t_WACC benchmarking 2" xfId="4147" xr:uid="{59E09690-3717-46FB-B274-5FD9BD4AAAAF}"/>
    <cellStyle name="t1" xfId="3316" xr:uid="{9A094A64-4559-4F70-A185-9C205F37D393}"/>
    <cellStyle name="table" xfId="3317" xr:uid="{101AD1A1-7AB9-4948-9D68-2EE4DF19BA07}"/>
    <cellStyle name="Table Col Head" xfId="3318" xr:uid="{6D76AADA-47F6-475C-AEEB-8B4D9FA9FEEA}"/>
    <cellStyle name="Table Head" xfId="3319" xr:uid="{531E0308-457A-4DF2-97E0-4AE1CC179F3E}"/>
    <cellStyle name="Table Head Aligned" xfId="3320" xr:uid="{57DDF4F5-FB15-4F84-8199-147597C6F2C8}"/>
    <cellStyle name="Table Head Aligned 2" xfId="4144" xr:uid="{8601731F-00E1-4A05-A221-6D2A4E7EA2F0}"/>
    <cellStyle name="Table Head Blue" xfId="3321" xr:uid="{AE71417A-A6EF-4B42-AAC7-79E0346450BC}"/>
    <cellStyle name="Table Head Green" xfId="3322" xr:uid="{0C9E694C-3FEC-4F45-892F-553ED948723F}"/>
    <cellStyle name="Table Head Green 2" xfId="4143" xr:uid="{92442718-B7F7-4196-82E1-54136065E670}"/>
    <cellStyle name="Table Label" xfId="3323" xr:uid="{884ECDCA-6C37-4779-89B1-712A8DEDB47E}"/>
    <cellStyle name="Table Label 2" xfId="4249" xr:uid="{AE11C5A1-8B21-4F03-9C5F-09D539522930}"/>
    <cellStyle name="Table Sub Head" xfId="3324" xr:uid="{BD3EBEB8-8354-4719-A8C3-8E82037A71B1}"/>
    <cellStyle name="Table Sub Heading" xfId="3325" xr:uid="{F635D4A3-EB13-41B5-883A-473F101134E6}"/>
    <cellStyle name="Table Title" xfId="3326" xr:uid="{01169244-E4F6-452A-BE56-3D49F7A35A3C}"/>
    <cellStyle name="Table Units" xfId="3327" xr:uid="{2692ADB3-62CA-400B-8EC7-5404C8759859}"/>
    <cellStyle name="table_PLDT (parent) model v3.2" xfId="3328" xr:uid="{CADC3BC6-56B0-4FC1-96F1-5CC4C04F0CC3}"/>
    <cellStyle name="TableBase" xfId="3329" xr:uid="{22CDB8A5-992E-4C34-B513-F46CD3468607}"/>
    <cellStyle name="TableBase 2" xfId="4336" xr:uid="{E5F24440-3613-4991-ACA5-7231CA494D88}"/>
    <cellStyle name="TableBase 3" xfId="4248" xr:uid="{4422C198-F520-405F-8BCF-66F62E2308F6}"/>
    <cellStyle name="TableBody" xfId="3330" xr:uid="{98A36746-C856-40B4-97CE-6F8FE63EE001}"/>
    <cellStyle name="TableBodyR" xfId="3331" xr:uid="{966AC31D-D83B-41EE-8279-B0505EEFC551}"/>
    <cellStyle name="TableColHeads" xfId="3332" xr:uid="{6AE87932-2C05-43BA-BB0E-051A33E1E81E}"/>
    <cellStyle name="TableColumnHeading" xfId="3333" xr:uid="{8451AAC8-B562-4E2F-A17A-69A6FEA27085}"/>
    <cellStyle name="TableHead" xfId="3334" xr:uid="{EE59BD59-B904-4B05-A4A1-4805185923A7}"/>
    <cellStyle name="TableSubTitleItalic" xfId="3335" xr:uid="{DF4CDBA5-0376-4E89-ADEB-334107816709}"/>
    <cellStyle name="TableText" xfId="3336" xr:uid="{59BC2C99-EA63-49B3-9E93-DD5F57E17CDB}"/>
    <cellStyle name="TableTitle" xfId="3337" xr:uid="{D62BD26D-F2E1-4415-848C-0F049FA54510}"/>
    <cellStyle name="tc" xfId="3338" xr:uid="{0CD57601-86A0-48F0-9BB5-22DE7D978916}"/>
    <cellStyle name="tc 2" xfId="4139" xr:uid="{937B85E3-7184-4A4C-950A-549EF78B1D45}"/>
    <cellStyle name="Text" xfId="3339" xr:uid="{B916A411-2920-470C-9CE3-4E8CE350D68E}"/>
    <cellStyle name="Text Indent A" xfId="3340" xr:uid="{97761A07-BF05-46D9-B78F-7721723142D9}"/>
    <cellStyle name="Text Indent B" xfId="3341" xr:uid="{C0215704-76C0-43A5-BE3C-191520EBC87F}"/>
    <cellStyle name="Text Indent C" xfId="3342" xr:uid="{2B24D420-AD41-477F-B302-E8F2EA97E208}"/>
    <cellStyle name="Text Level 1" xfId="3343" xr:uid="{CB50A829-8521-46FB-8241-E1CC62A1F92F}"/>
    <cellStyle name="Text Level 2" xfId="3344" xr:uid="{EF5FA64B-88E8-420B-9A45-D359399CC9AC}"/>
    <cellStyle name="Text Level 3" xfId="3345" xr:uid="{CCD0223B-F871-4AAC-ACF6-3864FE2013E8}"/>
    <cellStyle name="Text Level 4" xfId="3346" xr:uid="{E1406B79-3545-43A1-88ED-BE80F3D44A3E}"/>
    <cellStyle name="Thousands" xfId="3347" xr:uid="{22CD837B-9994-4191-BDBE-04D9FAF89212}"/>
    <cellStyle name="Time" xfId="3348" xr:uid="{A2A96B93-A132-4673-87F8-BE04A3E6B8B0}"/>
    <cellStyle name="TIME 2" xfId="3755" xr:uid="{6645247B-DFE8-494F-8386-34F1FDDD9CD9}"/>
    <cellStyle name="times" xfId="3349" xr:uid="{0B41F282-0E01-4356-AE34-E918FC0D93E8}"/>
    <cellStyle name="Times 10" xfId="3350" xr:uid="{2F4DC106-05B7-4149-9C68-47280D3342AE}"/>
    <cellStyle name="Times 12" xfId="3351" xr:uid="{BD2C307C-DFCD-41DD-BF9C-C5A3E9812442}"/>
    <cellStyle name="Times New Roman" xfId="3756" xr:uid="{46C4EE9A-C5F5-43D3-902D-56A4D0CFEAD2}"/>
    <cellStyle name="Title" xfId="4054" xr:uid="{7064B26A-7E88-4B47-BA06-102625FDED41}"/>
    <cellStyle name="Title - PROJECT" xfId="3352" xr:uid="{A206DBC3-2B0B-47A5-B3D4-C0FBFA188497}"/>
    <cellStyle name="Title - Underline" xfId="3353" xr:uid="{E5444F72-FE4E-4153-81B9-2A3D3D89B012}"/>
    <cellStyle name="Title 2" xfId="3757" xr:uid="{45C1D6DA-C580-47FF-A69D-313C4FE50CF1}"/>
    <cellStyle name="Title 3" xfId="4041" xr:uid="{7F6F08FC-4600-40B2-97E5-DC5331F14530}"/>
    <cellStyle name="Title 4" xfId="4042" xr:uid="{E15AD27E-BD43-476C-B19C-F832A50FF99C}"/>
    <cellStyle name="Title 5" xfId="4049" xr:uid="{253CC8C5-045F-4F9A-A47B-3050E856A344}"/>
    <cellStyle name="Title 6" xfId="4050" xr:uid="{9859CA73-F9DC-4B90-BC69-4440D88ED791}"/>
    <cellStyle name="title1" xfId="3354" xr:uid="{B84A7AAF-C21C-40D2-9A73-DE39E19BA104}"/>
    <cellStyle name="Title1 2" xfId="3758" xr:uid="{4A54CDE7-CEB0-43A9-86A6-FC25AFC184E8}"/>
    <cellStyle name="Title10" xfId="3355" xr:uid="{09CE1978-8BFB-4826-AEFB-FBF269947605}"/>
    <cellStyle name="title2" xfId="3356" xr:uid="{D9D8DF84-61E9-4C35-8F7A-330C7D4B4E45}"/>
    <cellStyle name="Title8" xfId="3357" xr:uid="{64AAE66E-3F83-478E-B4E0-8AAD6FDC6358}"/>
    <cellStyle name="Title8Left" xfId="3358" xr:uid="{A858C9E6-CABB-4FEC-B4CA-B210D1E32C60}"/>
    <cellStyle name="TitleOther" xfId="3759" xr:uid="{17E6FFA4-3006-452A-9790-F1543BB27414}"/>
    <cellStyle name="Titles" xfId="3359" xr:uid="{3532EA6B-0D40-471C-AE78-0DB47354E731}"/>
    <cellStyle name="Titles - Col. Headings" xfId="3360" xr:uid="{9222940B-742C-48A1-8C9D-6DF5AE5C1D2F}"/>
    <cellStyle name="Titles - Other" xfId="3361" xr:uid="{93A7775A-44DA-4FBC-8349-DF4D15E8B495}"/>
    <cellStyle name="TK" xfId="3362" xr:uid="{1DCC1E95-68CE-4CDC-A7AE-00F889705360}"/>
    <cellStyle name="top" xfId="3363" xr:uid="{2CD726BA-F691-482D-BF38-C92983A0B7AE}"/>
    <cellStyle name="Top and Bottom Border" xfId="3364" xr:uid="{1D527ACE-617B-4DD9-8E28-7968ABB1B9CE}"/>
    <cellStyle name="Top and Bottom Border 2" xfId="4136" xr:uid="{1E859930-E8ED-4014-81B0-62FE956310DC}"/>
    <cellStyle name="Top and Bottom Border 3" xfId="4247" xr:uid="{54DD25DC-35EC-4838-B4CE-DF93E6D3AA5F}"/>
    <cellStyle name="Top_Double_Bottom" xfId="3365" xr:uid="{40E20AF6-3482-44B6-B776-01278DEF0317}"/>
    <cellStyle name="Total - Grand_Total" xfId="3760" xr:uid="{3F311246-8B6A-43B3-A47C-1C04F1CFF729}"/>
    <cellStyle name="Total - Sub-Total" xfId="3761" xr:uid="{A145DEFF-C695-40EF-9BBF-6C24D2763AE0}"/>
    <cellStyle name="Total - Sub-Total 2" xfId="4320" xr:uid="{EEEDDC6C-F538-450E-9A53-F3DDA7D93532}"/>
    <cellStyle name="Total - Sub-Total 3" xfId="4066" xr:uid="{77CCD8FA-D5F6-4820-A1B1-921CDD3A0904}"/>
    <cellStyle name="Total - Total" xfId="3762" xr:uid="{5EB6BB38-5181-49F4-9DC5-67E4B08DFEA7}"/>
    <cellStyle name="Total - Total 2" xfId="3763" xr:uid="{65674F26-DB06-4A1B-98FD-99CAF2701374}"/>
    <cellStyle name="Total1" xfId="3764" xr:uid="{F17EE135-6433-493E-AA03-086C3E0D6AD0}"/>
    <cellStyle name="Total2" xfId="3765" xr:uid="{F16B99F2-34F7-478F-8277-B98A853F5756}"/>
    <cellStyle name="Total3" xfId="3766" xr:uid="{5BEFCDB8-06CA-43AE-BDEB-E5BB578C76E5}"/>
    <cellStyle name="Total4" xfId="3767" xr:uid="{AF64105B-3861-42B5-B1CC-75592BC19B91}"/>
    <cellStyle name="Total5" xfId="3768" xr:uid="{4444E535-6CC8-4B07-8085-61E63AEDEE81}"/>
    <cellStyle name="Total6" xfId="3769" xr:uid="{818D350A-EBF1-4357-8D74-BC34C08BD41F}"/>
    <cellStyle name="Total6 2" xfId="4321" xr:uid="{A752A2E5-1E29-47C7-ABB6-B6A46E58F724}"/>
    <cellStyle name="Total6 3" xfId="4065" xr:uid="{2D2541E6-9826-4118-9BE1-AF55686678F2}"/>
    <cellStyle name="Total7" xfId="3770" xr:uid="{6F6EF48C-A66A-4FB4-A096-DF76D5C9044A}"/>
    <cellStyle name="Total7 2" xfId="4322" xr:uid="{919B71B7-988D-4A98-9BC5-3FE6F991E0DF}"/>
    <cellStyle name="Total7 3" xfId="4064" xr:uid="{A8ADB7F5-F256-4727-975C-6589F9387CA7}"/>
    <cellStyle name="Total8" xfId="3771" xr:uid="{6B1B832A-CD51-40E5-AFD3-047F5BE45831}"/>
    <cellStyle name="Total9" xfId="3772" xr:uid="{88ABB988-8D4B-42B3-908C-97DD874B869B}"/>
    <cellStyle name="TotShade" xfId="3773" xr:uid="{2C2E7FC7-4855-451A-9ECE-F326F6D14D89}"/>
    <cellStyle name="ts0" xfId="3366" xr:uid="{16115A55-9C87-45EE-94D1-78B27D222A40}"/>
    <cellStyle name="ts1" xfId="3367" xr:uid="{2E66DAE6-71CD-4CF7-BD3C-B45280E9C8DE}"/>
    <cellStyle name="ts2" xfId="3368" xr:uid="{D691D3D9-EAED-48E0-A0D0-C2B37F79062C}"/>
    <cellStyle name="ts2 2" xfId="4699" xr:uid="{D95B8650-CB13-4E19-A3BD-2EAB41D7AD58}"/>
    <cellStyle name="ts2 2 2" xfId="4777" xr:uid="{1B4DAB57-C594-4B12-AA2E-97378059B755}"/>
    <cellStyle name="tt" xfId="3369" xr:uid="{9241EA86-B32C-4D97-9879-AFA3DAC3A4E9}"/>
    <cellStyle name="Tusental_NPV" xfId="3370" xr:uid="{F601DDDD-DEFD-4B8B-9B6D-2989CB474689}"/>
    <cellStyle name="u" xfId="3371" xr:uid="{CAD75FAC-D930-4C85-AB12-25178DFD3345}"/>
    <cellStyle name="u_MobilTel Matav model 18 June 2003 v1 NEW Emilie" xfId="3372" xr:uid="{39B05476-AEF1-4D14-AE20-7530B00FD126}"/>
    <cellStyle name="UB1" xfId="3774" xr:uid="{062C3B3A-A5BC-46A2-9AD4-D64CDA22F5AF}"/>
    <cellStyle name="UB2" xfId="3775" xr:uid="{63711333-3183-47D3-88B9-F8A94DEFC41C}"/>
    <cellStyle name="Uhrzeit" xfId="3373" xr:uid="{F94BF380-DC20-45D0-89D5-2EC43A74642F}"/>
    <cellStyle name="Uhrzeit 2" xfId="3561" xr:uid="{E50042ED-8F10-47EA-82BB-A65421D63B7A}"/>
    <cellStyle name="Underscore" xfId="3776" xr:uid="{1543D2F9-55D7-4A80-80F1-0E92FA4A231A}"/>
    <cellStyle name="Underscore 2" xfId="3777" xr:uid="{BE331E73-8EF9-42C3-A267-97E97AD34468}"/>
    <cellStyle name="Unhidden" xfId="3374" xr:uid="{A726AED4-3DC1-4E3D-8467-3DC58AED0DDF}"/>
    <cellStyle name="Unit" xfId="3778" xr:uid="{7FDB6960-C173-45B1-B7AC-4709EACF6189}"/>
    <cellStyle name="Unprotect" xfId="3375" xr:uid="{CA2D76E0-B1DD-4D59-98A7-7DC1B9685B07}"/>
    <cellStyle name="Upload Only" xfId="3376" xr:uid="{0989E25A-2F15-46DA-A41A-DCF0B8CAB58D}"/>
    <cellStyle name="UploadThisRowValue" xfId="3377" xr:uid="{979BDA19-7D0A-4C2E-92A2-8A7AA848E1CB}"/>
    <cellStyle name="User_Defined_C" xfId="3378" xr:uid="{0BAEE444-F1B5-4732-84FE-E070F55B6514}"/>
    <cellStyle name="Valuta [0]_laroux" xfId="3379" xr:uid="{A3724837-5971-47AF-938D-393D823BFC09}"/>
    <cellStyle name="Valuta_laroux" xfId="3380" xr:uid="{BEBEAD8A-C2A7-48E7-B21F-563C532AEE46}"/>
    <cellStyle name="vil" xfId="3381" xr:uid="{F71E3F0A-93A8-4E7A-AC28-1EB75FD09EE0}"/>
    <cellStyle name="w" xfId="3382" xr:uid="{FB00F4EC-D489-48DA-8F29-B3CAEB644EF5}"/>
    <cellStyle name="w12" xfId="3779" xr:uid="{A2D7F75D-7BB6-46A0-A453-10B7D847F197}"/>
    <cellStyle name="Währung [0]_Compiling Utility Macros" xfId="3383" xr:uid="{432BFEE4-0EA3-4352-814A-88999FDAE9E2}"/>
    <cellStyle name="Währung_airt-rev" xfId="3384" xr:uid="{72CA73D0-A169-478A-AB5E-09D4D689B930}"/>
    <cellStyle name="WHead - Style2" xfId="3385" xr:uid="{C9835524-561E-4AE9-97F3-1E88D511002B}"/>
    <cellStyle name="WHead - Style2 2" xfId="4135" xr:uid="{90A189C0-95B6-4883-9486-2E58FD9227B0}"/>
    <cellStyle name="WhitePattern" xfId="3386" xr:uid="{6116B0E2-16F4-4B8D-98C7-67B94439702B}"/>
    <cellStyle name="WhitePattern1" xfId="3387" xr:uid="{54956515-D3B4-4CB2-A429-47119F2DB5AD}"/>
    <cellStyle name="WhitePattern1 2" xfId="4317" xr:uid="{F5CE57A0-0F29-4A92-9B70-CEDE30938C0B}"/>
    <cellStyle name="WhitePattern1 3" xfId="4245" xr:uid="{0E472F53-A6D5-4578-8FE4-A13AAAD1C4B1}"/>
    <cellStyle name="WhiteText" xfId="3388" xr:uid="{ED7AF6AA-B21B-4C0B-91CB-999D8AE46A43}"/>
    <cellStyle name="WP Header" xfId="3389" xr:uid="{42A6F1AE-8A51-4649-8B13-5E1EC8D3A69E}"/>
    <cellStyle name="x" xfId="3390" xr:uid="{C6F19D46-530A-421C-8FD9-F896A3CF8F4C}"/>
    <cellStyle name="x0" xfId="3391" xr:uid="{D3FC4AAD-7C71-4110-B211-31D9DDB5D146}"/>
    <cellStyle name="x1" xfId="3392" xr:uid="{C94957B0-0B67-4D51-8D34-94024363B706}"/>
    <cellStyle name="x2" xfId="3393" xr:uid="{E72AA64C-5D83-4379-81BE-370456A81EE2}"/>
    <cellStyle name="Year" xfId="3394" xr:uid="{0D7DF00A-E5AE-4DB1-9A56-91BBB4F217F0}"/>
    <cellStyle name="Year 2" xfId="4134" xr:uid="{E9A7F069-ABC5-4F5D-8866-9648770EA8B7}"/>
    <cellStyle name="yellow" xfId="3395" xr:uid="{43735E65-650E-435E-BC0C-2E15655751BB}"/>
    <cellStyle name="Yen" xfId="3396" xr:uid="{9656AECD-18A2-4E98-98EB-25F438E193FB}"/>
    <cellStyle name="yh" xfId="3397" xr:uid="{54EB2414-E265-48BD-B252-1BC193C4C0AD}"/>
    <cellStyle name="yt" xfId="3398" xr:uid="{C9C56C4E-32BF-4666-8133-947F4A2E6789}"/>
    <cellStyle name="z" xfId="3399" xr:uid="{9F5B345F-1E3A-4679-9906-56768CF044C3}"/>
    <cellStyle name="Zaph Call 11pt" xfId="3400" xr:uid="{AE43DED5-347F-4294-9AAD-7BA400BC93C5}"/>
    <cellStyle name="Zero" xfId="3401" xr:uid="{A75C4CAF-1FAD-40DA-B359-911A1038CAF2}"/>
    <cellStyle name="アクセント 1" xfId="3780" xr:uid="{9BEAD445-FC30-4DEE-A5FE-5FD0FBAA4987}"/>
    <cellStyle name="アクセント 2" xfId="3781" xr:uid="{BAE8500A-5E9C-4DE1-A4A7-AC08C64B1E88}"/>
    <cellStyle name="アクセント 3" xfId="3782" xr:uid="{BE9A5F96-795D-4C6B-9521-B117DDC64DF2}"/>
    <cellStyle name="アクセント 4" xfId="3783" xr:uid="{22602CF7-2F06-4878-8322-10E3D4B256A1}"/>
    <cellStyle name="アクセント 5" xfId="3784" xr:uid="{CE668A63-3CA5-49DF-AC7B-03AED8A500A5}"/>
    <cellStyle name="アクセント 6" xfId="3785" xr:uid="{8673694E-8292-466B-B653-1F5F31E8EA1D}"/>
    <cellStyle name="ゼ﹚竡" xfId="3402" xr:uid="{A3DC9077-3F2C-4440-9A6C-54949ADBE7DF}"/>
    <cellStyle name="タイトル" xfId="3786" xr:uid="{FFF03E2B-92D9-417B-9780-6539BD9AAF1F}"/>
    <cellStyle name="チェック セル" xfId="3787" xr:uid="{DD471BDE-FFC6-4E6C-BBE5-8B27F9F78BD4}"/>
    <cellStyle name="どちらでもない" xfId="3788" xr:uid="{E50E8176-2A99-4FE3-82AE-58BCF7F3E5FC}"/>
    <cellStyle name="メモ" xfId="3789" xr:uid="{80E75C01-6CCD-42BC-AC4F-F916B0D6B254}"/>
    <cellStyle name="メモ 2" xfId="4086" xr:uid="{443F5F96-08BF-4168-9CAE-DAC91D00F486}"/>
    <cellStyle name="メモ 3" xfId="4063" xr:uid="{B0583738-0416-44E9-8EE0-1CF7EC3D35D5}"/>
    <cellStyle name="リンク セル" xfId="3790" xr:uid="{88C49CF7-D84E-4812-B230-DC4FD1EE67C7}"/>
    <cellStyle name="_SCH1" xfId="3403" xr:uid="{31320BFB-B492-4B6A-A928-939BE2D11C00}"/>
    <cellStyle name="籵_pldt" xfId="3404" xr:uid="{BBC6ED11-3F22-4DBF-B5F8-703BE3CAB78A}"/>
    <cellStyle name="煦弇[0]_pldt" xfId="3405" xr:uid="{54B585D4-8F8D-44E5-9706-89A90C8701F6}"/>
    <cellStyle name="煦弇_pldt" xfId="3406" xr:uid="{5B127050-CC7C-4CE0-B795-8508E61CB4E5}"/>
    <cellStyle name="强调文字颜色 1 2" xfId="4470" xr:uid="{80996DA1-3B96-4353-AC5D-EB26C9ABDF8E}"/>
    <cellStyle name="强调文字颜色 2 2" xfId="4471" xr:uid="{286E4DE9-2DF1-4F81-A227-595E07CF0F96}"/>
    <cellStyle name="强调文字颜色 3 2" xfId="4472" xr:uid="{0E126494-E3F4-4A77-8192-3B55AF972628}"/>
    <cellStyle name="强调文字颜色 4 2" xfId="4473" xr:uid="{92802F4F-8996-4E70-9044-41D5516F4C48}"/>
    <cellStyle name="强调文字颜色 5 2" xfId="4474" xr:uid="{15AE52FB-2CC0-40FC-B9F6-015F86A38A8C}"/>
    <cellStyle name="强调文字颜色 6 2" xfId="4475" xr:uid="{59D3C16A-28D2-42CE-99DB-6EFF04E4C847}"/>
    <cellStyle name="检查单元格 2" xfId="4481" xr:uid="{CBEF4F10-6A16-4A66-90A4-3E426AA9DF9C}"/>
    <cellStyle name="檢查儲存格" xfId="3477" xr:uid="{FD1F25BB-EC53-49B5-8A6E-F25615CA2565}"/>
    <cellStyle name="見出し 1" xfId="3992" xr:uid="{66AF5C09-A0EA-417D-8EDC-CCD9B286D248}"/>
    <cellStyle name="見出し 2" xfId="3993" xr:uid="{044443E0-DED3-47C0-8BA5-21AA59684AC7}"/>
    <cellStyle name="見出し 3" xfId="3994" xr:uid="{A45BE1AD-8B9F-4354-9614-6B156BCF9782}"/>
    <cellStyle name="見出し 3 2" xfId="3995" xr:uid="{BDDD7963-8ED1-4A22-8D44-722B2796D8EB}"/>
    <cellStyle name="見出し 4" xfId="3996" xr:uid="{C9C0332B-BDA5-46BF-A5B6-94F84B0F9492}"/>
    <cellStyle name="警告文" xfId="3997" xr:uid="{812197BF-38D3-4F76-82EE-121750E6944B}"/>
    <cellStyle name="警告文本 2" xfId="4485" xr:uid="{47496881-DBDF-42A5-884C-6695C5E46E12}"/>
    <cellStyle name="警告文字" xfId="3478" xr:uid="{7B6B6C13-57C7-47BE-9EEF-66653C763643}"/>
    <cellStyle name="計算" xfId="3991" xr:uid="{4AD28A0B-9A70-43A8-9946-CEE527BD6DE3}"/>
    <cellStyle name="計算 2" xfId="4432" xr:uid="{11E9B459-474C-492A-BE48-52BC3330E951}"/>
    <cellStyle name="计算 2" xfId="4486" xr:uid="{CD93CFC6-FE58-45D6-831F-BB7C0CB45755}"/>
    <cellStyle name="計算 3" xfId="4128" xr:uid="{E001903E-3047-437A-9FE9-17B1A1C73A92}"/>
    <cellStyle name="計算方式" xfId="3476" xr:uid="{B88C9E67-A559-4DD8-B71C-567949B9B660}"/>
    <cellStyle name="計算方式 2" xfId="4130" xr:uid="{B7796CE4-53FF-48DF-BA54-48567E09F611}"/>
    <cellStyle name="計算方式 3" xfId="4168" xr:uid="{298E2319-B43B-4941-9234-42EE320BE729}"/>
    <cellStyle name="公司标准表" xfId="3458" xr:uid="{4F3D794B-BA82-4F50-9F6D-1761D71103C7}"/>
    <cellStyle name="适中 2" xfId="4490" xr:uid="{E69B9A09-B703-418D-9C06-7C73DBC76CEA}"/>
    <cellStyle name="壞" xfId="3472" xr:uid="{AAAEC0C2-4921-43C3-B148-E7E32293CCE9}"/>
    <cellStyle name="良い" xfId="3998" xr:uid="{40B8369B-9078-43E9-A594-BB716EFA37A7}"/>
    <cellStyle name="連結的儲存格" xfId="3479" xr:uid="{2AA4AE64-C907-4544-893C-821A5EE30199}"/>
    <cellStyle name="链接单元格 2" xfId="4491" xr:uid="{7EC7B1AD-8650-4516-8595-2A040E87E4B8}"/>
    <cellStyle name="未定義" xfId="4030" xr:uid="{E37EED3F-D827-400B-A6AB-5E5B0F18E61A}"/>
    <cellStyle name="百分比 10" xfId="4056" xr:uid="{8C9A4CEA-3F74-414D-9D31-629E82EE40BF}"/>
    <cellStyle name="百分比 10 2" xfId="4429" xr:uid="{28A86571-32DE-4078-B9EA-C136F933BF2F}"/>
    <cellStyle name="百分比 11" xfId="4060" xr:uid="{45E4C7C4-55AF-43D0-9237-93A81729C01E}"/>
    <cellStyle name="百分比 11 2" xfId="4504" xr:uid="{1A226FE5-B9EC-4C07-8A2C-4C05905BA3BC}"/>
    <cellStyle name="百分比 12" xfId="4439" xr:uid="{0A1697BB-3A28-48F1-B862-C49198D30C20}"/>
    <cellStyle name="百分比 13" xfId="4053" xr:uid="{F372C31F-9E91-4DBF-9F76-40B7E687300F}"/>
    <cellStyle name="百分比 2" xfId="3407" xr:uid="{05DD2D1C-8B2A-4809-9CFF-A387643AEFAC}"/>
    <cellStyle name="百分比 2 2" xfId="3408" xr:uid="{CF396CD6-58EF-4CF1-BA97-9034251106F4}"/>
    <cellStyle name="百分比 2 2 2" xfId="3791" xr:uid="{E75BA70B-C725-4CD7-A9A6-88D1A5923511}"/>
    <cellStyle name="百分比 2 3" xfId="4045" xr:uid="{CFB65020-60C0-48AD-8115-5BE20EDB36D4}"/>
    <cellStyle name="百分比 3" xfId="3409" xr:uid="{7C129FD0-8798-44A9-BBAE-7B0BEDC66204}"/>
    <cellStyle name="百分比 3 2" xfId="3410" xr:uid="{C755F665-34AC-430C-9A3E-EDDC48405C56}"/>
    <cellStyle name="百分比 3 2 2" xfId="3792" xr:uid="{C54F732B-2A29-4400-89D0-EF015345359B}"/>
    <cellStyle name="百分比 3 3" xfId="3566" xr:uid="{335A3655-AAF4-47D0-BF54-96F61EBBF03A}"/>
    <cellStyle name="百分比 4" xfId="3411" xr:uid="{7133AD8C-96A9-4045-B9C1-F27F863D3A67}"/>
    <cellStyle name="百分比 4 2" xfId="3793" xr:uid="{C32878C9-3EBE-4601-83C5-8202FC9A4A30}"/>
    <cellStyle name="百分比 4 3" xfId="3567" xr:uid="{290A1D98-4DBD-4F82-97D0-CEA2888A803D}"/>
    <cellStyle name="百分比 4 3 2" xfId="4326" xr:uid="{B4C8A3F6-4AAD-4DE5-9F91-1FEB0E0D380D}"/>
    <cellStyle name="百分比 4 3 2 2" xfId="4506" xr:uid="{AB1CCC7A-B16C-407A-BB34-8A0E9E6D308F}"/>
    <cellStyle name="百分比 4 3 3" xfId="4505" xr:uid="{B790BE6A-1005-49A1-AB21-F98211ACBE8D}"/>
    <cellStyle name="百分比 5" xfId="3794" xr:uid="{A1F66386-C300-41C4-AD6F-CE836333C573}"/>
    <cellStyle name="百分比 6" xfId="3795" xr:uid="{A89C0B1F-5264-43E5-AF03-7781D8E752AE}"/>
    <cellStyle name="百分比 6 2" xfId="3796" xr:uid="{8A71CB96-E45C-41AA-B012-FD6E9D337CF1}"/>
    <cellStyle name="百分比 6 3" xfId="3797" xr:uid="{CC24DAEF-BC2E-4EC6-84EC-F68A6E9DDAF8}"/>
    <cellStyle name="百分比 6 3 2" xfId="4339" xr:uid="{82244CCC-A8DD-4B6B-BE96-E283B841C11E}"/>
    <cellStyle name="百分比 6 3 2 2" xfId="4509" xr:uid="{A652D0EF-0BC0-476F-8280-43EABBCD512C}"/>
    <cellStyle name="百分比 6 3 3" xfId="4508" xr:uid="{0AA1D92E-798F-4917-A1F9-54806F724E53}"/>
    <cellStyle name="百分比 6 4" xfId="4338" xr:uid="{CCF66F81-AE4A-4431-92DE-63C03BC3BC1F}"/>
    <cellStyle name="百分比 6 4 2" xfId="4510" xr:uid="{544EA643-79BD-43BE-8431-9B3EB9BEC1C0}"/>
    <cellStyle name="百分比 6 5" xfId="4507" xr:uid="{563A3AB2-C2A9-47BD-BBED-6046CF89A0E7}"/>
    <cellStyle name="百分比 7" xfId="3798" xr:uid="{772C3722-0C36-487C-B79B-AFDDA349FF1D}"/>
    <cellStyle name="百分比 8" xfId="3799" xr:uid="{2DFA3752-8A98-40BC-9E57-8559943050CF}"/>
    <cellStyle name="百分比 9" xfId="3800" xr:uid="{265D64B1-BC0F-4521-B8BB-C48A7E90E335}"/>
    <cellStyle name="百分比 9 2" xfId="4340" xr:uid="{CECC8231-7426-4E70-9CC5-A4AF7A6D7CEF}"/>
    <cellStyle name="百分比 9 2 2" xfId="4512" xr:uid="{A05884DE-32E6-4795-B7BD-B5C382920210}"/>
    <cellStyle name="百分比 9 3" xfId="4511" xr:uid="{7C0047EC-BBA2-41EF-AB6B-59D4570658AE}"/>
    <cellStyle name="백분율 2" xfId="4733" xr:uid="{0AB5312A-BC44-4FA6-BE0E-39A69E8E4EEF}"/>
    <cellStyle name="백분율 3" xfId="124" xr:uid="{931D1451-8991-46B3-A097-2C0DDFBC5730}"/>
    <cellStyle name="輔色1" xfId="3452" xr:uid="{4E8FB12C-3866-48B0-91C5-839EC3E7B934}"/>
    <cellStyle name="輔色2" xfId="3453" xr:uid="{89689E49-544F-4B63-A421-27CBF9B81E13}"/>
    <cellStyle name="輔色3" xfId="3454" xr:uid="{627B0CEC-594F-49F0-9DF0-52ACE57FD952}"/>
    <cellStyle name="輔色4" xfId="3455" xr:uid="{3DD4706B-CFB4-4C33-8577-F849F17D1C65}"/>
    <cellStyle name="輔色5" xfId="3456" xr:uid="{B083EA26-CCFD-49AC-AC91-00B0B9DEA658}"/>
    <cellStyle name="輔色6" xfId="3457" xr:uid="{F761EF37-D2F1-4A99-8343-0254EFEA259E}"/>
    <cellStyle name="普通_ 白土" xfId="3484" xr:uid="{A9D9174F-2863-4E04-A6B9-C1C0EF067F1C}"/>
    <cellStyle name="備註" xfId="3412" xr:uid="{3B09414D-A353-4215-9614-0D36E09AD028}"/>
    <cellStyle name="備註 2" xfId="4133" xr:uid="{2C269BD2-2821-4B83-9A62-29ED7708AF71}"/>
    <cellStyle name="備註 3" xfId="4244" xr:uid="{B5AAA8CB-997B-43B6-9C86-504F64DF12A8}"/>
    <cellStyle name="常?_流???-椰?" xfId="3429" xr:uid="{6DF7E8C6-C190-4ACC-97A3-B99FC36F4873}"/>
    <cellStyle name="常规 10" xfId="3583" xr:uid="{4B750A24-CAC7-4A48-869E-E7BED98CBC70}"/>
    <cellStyle name="常规 10 2" xfId="3816" xr:uid="{2B01E34A-F93D-4116-B956-474AE98DC272}"/>
    <cellStyle name="常规 10 3" xfId="3817" xr:uid="{11852EE9-3F4A-4D55-A917-D09EE2ADA8D7}"/>
    <cellStyle name="常规 10 4" xfId="4329" xr:uid="{9B84FE45-6A22-4569-99CB-18C3B9ADB492}"/>
    <cellStyle name="常规 11" xfId="3818" xr:uid="{62333835-DA71-4F2D-ADE4-276A5D1C7770}"/>
    <cellStyle name="常规 12" xfId="3819" xr:uid="{7175AA2A-43E2-4D03-B06D-8673C9318A43}"/>
    <cellStyle name="常规 13" xfId="3820" xr:uid="{21EDC3E3-6D4D-4C0B-9F72-D6E5DF910F0F}"/>
    <cellStyle name="常规 14" xfId="3821" xr:uid="{C1214A0C-27D2-4AAB-B18B-02067FC0BA90}"/>
    <cellStyle name="常规 14 2" xfId="4705" xr:uid="{71C5CECE-4F44-4A5E-AE0F-CE42D9AD361B}"/>
    <cellStyle name="常规 14 2 2" xfId="4783" xr:uid="{6791FB2A-DCA1-441A-96BB-9E92D0FCCAB1}"/>
    <cellStyle name="常规 15" xfId="3822" xr:uid="{B429A854-7ABB-4718-9B06-C7F000AB8CFF}"/>
    <cellStyle name="常规 16" xfId="3823" xr:uid="{76BCB3EA-192D-43B9-95C9-AC90713F6DCB}"/>
    <cellStyle name="常规 16 2" xfId="3824" xr:uid="{AE54AA53-8B3C-4F63-9483-1CF4C4E0364D}"/>
    <cellStyle name="常规 16 2 2" xfId="3825" xr:uid="{26B6503D-0600-4093-A529-D22331A365AB}"/>
    <cellStyle name="常规 17" xfId="3826" xr:uid="{520D8707-1988-487F-BC17-505640ADF58B}"/>
    <cellStyle name="常规 18" xfId="3827" xr:uid="{FC0E4497-C753-47D0-839D-DBA2100BCBF3}"/>
    <cellStyle name="常规 18 2" xfId="3828" xr:uid="{E3445C81-1871-4845-AF03-82A6F5CCC11A}"/>
    <cellStyle name="常规 18 2 2" xfId="4706" xr:uid="{B7001A48-663A-4AFA-95E0-97907EFF659B}"/>
    <cellStyle name="常规 18 2 2 2" xfId="4784" xr:uid="{732FAC10-09DA-4C47-861A-52D34AE478F7}"/>
    <cellStyle name="常规 18 3" xfId="3829" xr:uid="{D25F74C0-44A0-4A8E-8AC9-786DE811F536}"/>
    <cellStyle name="常规 18 3 2" xfId="4342" xr:uid="{E53D6763-3273-42D7-ADCF-83FDC00CF4DF}"/>
    <cellStyle name="常规 18 3 2 2" xfId="4515" xr:uid="{7D19A027-F441-437D-8221-3519DA0090EF}"/>
    <cellStyle name="常规 18 3 3" xfId="4514" xr:uid="{4F50F5E3-8237-43D8-BF7B-EABB1DD3E572}"/>
    <cellStyle name="常规 18 4" xfId="4341" xr:uid="{15AD6354-65EE-4B51-ADC2-7CA55C9EC069}"/>
    <cellStyle name="常规 18 4 2" xfId="4516" xr:uid="{794D698B-CA08-4DDC-B91E-059A7FA6C10A}"/>
    <cellStyle name="常规 18 5" xfId="4513" xr:uid="{E166651D-5FC7-4593-AAD8-2B0E122D90BE}"/>
    <cellStyle name="常规 19" xfId="3830" xr:uid="{497D4879-264C-4265-A957-FAD60D1783DE}"/>
    <cellStyle name="常规 19 2" xfId="3831" xr:uid="{8F40D05B-4666-4E2B-A902-BF7890A527E7}"/>
    <cellStyle name="常规 19 2 2" xfId="4344" xr:uid="{6D6B6254-A2DD-45E0-8448-242B202CB3BB}"/>
    <cellStyle name="常规 19 2 2 2" xfId="4519" xr:uid="{069942BC-8FF4-4D91-9BC0-D668DCBF7304}"/>
    <cellStyle name="常规 19 2 3" xfId="4518" xr:uid="{1F29C820-BF98-4F26-A21D-53D3F87AECA4}"/>
    <cellStyle name="常规 19 3" xfId="4343" xr:uid="{DBBF36F7-5898-4CF5-9C8C-9DC8016A264B}"/>
    <cellStyle name="常规 19 3 2" xfId="4520" xr:uid="{720FF225-E6EF-4805-8C76-EE7F96E024D2}"/>
    <cellStyle name="常规 19 4" xfId="4517" xr:uid="{2EBB3D1F-1C1C-41F3-9CFE-8CB05C4CC20C}"/>
    <cellStyle name="常规 2" xfId="3430" xr:uid="{D6AAF4B4-FE27-4990-A0C6-139D6FA7D103}"/>
    <cellStyle name="常规 2 10" xfId="3832" xr:uid="{7BDE20D1-FACB-4208-989C-A95F4F470FC1}"/>
    <cellStyle name="常规 2 11" xfId="3833" xr:uid="{2DAD7247-BB4D-4EA7-97FD-63059C13FE76}"/>
    <cellStyle name="常规 2 12" xfId="3834" xr:uid="{93D02375-78DE-46CC-AFC0-2AE33D3620E0}"/>
    <cellStyle name="常规 2 13" xfId="3835" xr:uid="{87A5FD26-A945-42CA-9574-54F110E4EBD6}"/>
    <cellStyle name="常规 2 14" xfId="3836" xr:uid="{D75A38DD-382E-4B13-A5A2-2C21930C088C}"/>
    <cellStyle name="常规 2 14 2" xfId="4345" xr:uid="{294CC59D-3847-4C64-9FA6-A9828EDCB5A7}"/>
    <cellStyle name="常规 2 14 2 2" xfId="4522" xr:uid="{2CAC02CC-E5C3-4CBD-9169-BB5791D470E7}"/>
    <cellStyle name="常规 2 14 3" xfId="4521" xr:uid="{D87BEF66-6F55-4032-8D00-68907EDA354A}"/>
    <cellStyle name="常规 2 15" xfId="3837" xr:uid="{5BABB919-E1BE-4ED2-B53D-FBF2B3959063}"/>
    <cellStyle name="常规 2 15 2" xfId="4346" xr:uid="{6FC770F8-2E89-40AC-B317-694C806423F3}"/>
    <cellStyle name="常规 2 15 2 2" xfId="4524" xr:uid="{815C5611-6D0A-4369-A37F-68078C4311A4}"/>
    <cellStyle name="常规 2 15 3" xfId="4523" xr:uid="{F99BD1A3-3E48-4E82-9391-90B477D09420}"/>
    <cellStyle name="常规 2 16" xfId="3568" xr:uid="{D665FFC1-0A8B-4467-8908-9463799CF464}"/>
    <cellStyle name="常规 2 2" xfId="3431" xr:uid="{1D190AD5-23DB-42B8-B22C-96EAF37C363A}"/>
    <cellStyle name="常规 2 2 10" xfId="3839" xr:uid="{B3327E4D-5E55-4955-859F-D74262A739E9}"/>
    <cellStyle name="常规 2 2 11" xfId="3840" xr:uid="{6290B2DB-4DD9-4909-9B38-1E8AFECF9242}"/>
    <cellStyle name="常规 2 2 12" xfId="3841" xr:uid="{6D465666-FF28-4865-B0F6-ACBCB36D28C3}"/>
    <cellStyle name="常规 2 2 12 2" xfId="3842" xr:uid="{64C48AB5-D32A-4282-8697-3E9471595163}"/>
    <cellStyle name="常规 2 2 12 2 2" xfId="4349" xr:uid="{86D76E55-FB71-4289-8DFD-3B1C8B3F342B}"/>
    <cellStyle name="常规 2 2 12 2 2 2" xfId="4527" xr:uid="{9836555C-DA0E-484D-B788-405A503F8820}"/>
    <cellStyle name="常规 2 2 12 2 3" xfId="4526" xr:uid="{6BBEAB2A-D417-4636-863C-5174F36A1A95}"/>
    <cellStyle name="常规 2 2 12 3" xfId="4348" xr:uid="{C8F6D7E4-8039-486D-B9C6-9FFF2B8483AF}"/>
    <cellStyle name="常规 2 2 12 3 2" xfId="4528" xr:uid="{F1418481-5F5C-4DDB-8DDB-62FDC501A1F2}"/>
    <cellStyle name="常规 2 2 12 4" xfId="4525" xr:uid="{D22D29C1-C3F0-49B3-90A4-C8E72D9DE22C}"/>
    <cellStyle name="常规 2 2 13" xfId="3843" xr:uid="{CFE2067C-4018-4553-9164-D2566CFA5DD0}"/>
    <cellStyle name="常规 2 2 13 2" xfId="3844" xr:uid="{11968CD8-9A63-4182-B42E-5D3DCD5CE0A2}"/>
    <cellStyle name="常规 2 2 13 2 2" xfId="4351" xr:uid="{1580C9F3-6558-4257-A1AA-FAAF71A4D8DA}"/>
    <cellStyle name="常规 2 2 13 2 2 2" xfId="4531" xr:uid="{98B1693D-12FF-416F-84A1-9C5C38866ADF}"/>
    <cellStyle name="常规 2 2 13 2 3" xfId="4530" xr:uid="{D0C06A02-170B-41D1-852A-C9B46D6F2848}"/>
    <cellStyle name="常规 2 2 13 3" xfId="4350" xr:uid="{70E6A7AB-D690-4A13-8E4A-96FBFB219F9A}"/>
    <cellStyle name="常规 2 2 13 3 2" xfId="4532" xr:uid="{2C95F70E-5F40-49A4-9900-BECAEA83485C}"/>
    <cellStyle name="常规 2 2 13 4" xfId="4529" xr:uid="{F95891EB-39C4-41C1-BE84-42C616B5DFC1}"/>
    <cellStyle name="常规 2 2 14" xfId="3845" xr:uid="{FA1EC1FA-F38B-4C02-B7C1-70356422D09F}"/>
    <cellStyle name="常规 2 2 14 2" xfId="3846" xr:uid="{CC00C042-D7C2-4D8E-9BB8-173EA162C194}"/>
    <cellStyle name="常规 2 2 14 2 2" xfId="4353" xr:uid="{6B036A3F-D584-4B29-9066-2C87501E385E}"/>
    <cellStyle name="常规 2 2 14 2 2 2" xfId="4535" xr:uid="{3956640F-96B2-4441-A1FC-A910D49ABDA5}"/>
    <cellStyle name="常规 2 2 14 2 3" xfId="4534" xr:uid="{5520C235-1808-408E-953A-154CC5463829}"/>
    <cellStyle name="常规 2 2 14 3" xfId="4352" xr:uid="{3DFEF238-D3B4-487D-B712-2E9A757E0DED}"/>
    <cellStyle name="常规 2 2 14 3 2" xfId="4536" xr:uid="{239B78F2-96E7-43BA-A588-9D31B0A01D7D}"/>
    <cellStyle name="常规 2 2 14 4" xfId="4533" xr:uid="{4FDC9354-BEAA-4414-811F-A77DDABED3D9}"/>
    <cellStyle name="常规 2 2 15" xfId="3847" xr:uid="{A93A72B0-1A25-411B-9708-31C086244189}"/>
    <cellStyle name="常规 2 2 15 2" xfId="3848" xr:uid="{63D344C2-9ECC-40B7-9D0E-B3281C35CA37}"/>
    <cellStyle name="常规 2 2 15 2 2" xfId="4355" xr:uid="{A457C7A4-8A76-46E7-BC79-64280E8CCBA9}"/>
    <cellStyle name="常规 2 2 15 2 2 2" xfId="4539" xr:uid="{418BFDA6-DC19-4394-AAFE-5F084B22223E}"/>
    <cellStyle name="常规 2 2 15 2 3" xfId="4538" xr:uid="{E0E6574B-3D82-46E2-ABC3-074E5F778361}"/>
    <cellStyle name="常规 2 2 15 3" xfId="4354" xr:uid="{41F41918-EF0E-43E3-98A9-B6D4CB2FAE15}"/>
    <cellStyle name="常规 2 2 15 3 2" xfId="4540" xr:uid="{D08764B3-EFE6-4A90-9B64-A7B1F7CA219B}"/>
    <cellStyle name="常规 2 2 15 4" xfId="4537" xr:uid="{1474BDBE-5E2F-428C-9100-1BD85E1ED45D}"/>
    <cellStyle name="常规 2 2 16" xfId="3849" xr:uid="{A4CCAA37-2A6B-4618-94C1-C261AD14E456}"/>
    <cellStyle name="常规 2 2 16 2" xfId="4356" xr:uid="{60B55892-6379-4E46-B9FA-3046BCF57CEC}"/>
    <cellStyle name="常规 2 2 16 2 2" xfId="4542" xr:uid="{50C37B04-543D-43E6-B3E4-6457D33E9D52}"/>
    <cellStyle name="常规 2 2 16 3" xfId="4541" xr:uid="{23C72093-578E-42BD-ACEA-5B2096E31E87}"/>
    <cellStyle name="常规 2 2 17" xfId="3850" xr:uid="{E92A6770-5C70-4E85-9D4B-D4822ECD15AE}"/>
    <cellStyle name="常规 2 2 17 2" xfId="4357" xr:uid="{E96260ED-E0B2-4469-AF5E-31680786336E}"/>
    <cellStyle name="常规 2 2 17 2 2" xfId="4544" xr:uid="{98CAE31B-F2E6-46A2-B8B7-D196E802408A}"/>
    <cellStyle name="常规 2 2 17 3" xfId="4543" xr:uid="{779741F4-520E-43DF-BE59-456952658497}"/>
    <cellStyle name="常规 2 2 18" xfId="3838" xr:uid="{AD23F8AB-5131-4DD4-BCB7-F6DF382C358B}"/>
    <cellStyle name="常规 2 2 18 2" xfId="4347" xr:uid="{23FD623B-FB58-4023-939C-4A9AA6F551AC}"/>
    <cellStyle name="常规 2 2 18 2 2" xfId="4546" xr:uid="{83DD4734-44FC-44C7-A60B-9CDC1A15E974}"/>
    <cellStyle name="常规 2 2 18 3" xfId="4545" xr:uid="{3DFE501F-C119-4FD0-8EE1-C71954597AE7}"/>
    <cellStyle name="常规 2 2 2" xfId="3432" xr:uid="{B763AAA9-B4C2-4821-9CA1-B43BEC014393}"/>
    <cellStyle name="常规 2 2 2 2" xfId="3851" xr:uid="{866F9B2A-8CAE-4B9E-BDFD-E1116403A347}"/>
    <cellStyle name="常规 2 2 3" xfId="3852" xr:uid="{140F7E39-B7D7-48D9-8C53-EF6F6E87BF51}"/>
    <cellStyle name="常规 2 2 4" xfId="3853" xr:uid="{423304A8-82E3-49BE-BCDF-042387BD3C76}"/>
    <cellStyle name="常规 2 2 5" xfId="3854" xr:uid="{8109C990-6760-4FF0-9F80-C9FA964E7A73}"/>
    <cellStyle name="常规 2 2 6" xfId="3855" xr:uid="{00B81148-8F27-4CE3-96F1-C88573649E89}"/>
    <cellStyle name="常规 2 2 7" xfId="3856" xr:uid="{E222971E-CF71-487F-AABD-473FA31D83B2}"/>
    <cellStyle name="常规 2 2 8" xfId="3857" xr:uid="{E498D6D0-692E-4092-AAAE-CC87EA89DF9E}"/>
    <cellStyle name="常规 2 2 9" xfId="3858" xr:uid="{9D9C6541-F15F-498E-8997-C8D57588BF76}"/>
    <cellStyle name="常规 2 2_华南项目D地块项目测算20111225" xfId="3433" xr:uid="{96E57A55-F04D-4A8F-AC5D-BCC4EFDF7BF7}"/>
    <cellStyle name="常规 2 3" xfId="3434" xr:uid="{ACACBB39-9F2A-42A9-A606-FD128CF50020}"/>
    <cellStyle name="常规 2 3 2" xfId="3860" xr:uid="{3356FD46-D5D1-49B7-AFD2-963431D71C66}"/>
    <cellStyle name="常规 2 3 2 2" xfId="3861" xr:uid="{38F8329E-6D73-4ADE-9BC7-4221E457A9F9}"/>
    <cellStyle name="常规 2 3 2 2 2" xfId="3862" xr:uid="{E557389A-50AF-4E3B-B371-E0A041EB0E24}"/>
    <cellStyle name="常规 2 3 2 2 2 2" xfId="4361" xr:uid="{1C0ED029-DB68-4D19-973C-67DD6A1B7E2C}"/>
    <cellStyle name="常规 2 3 2 2 2 2 2" xfId="4550" xr:uid="{B0DB560E-ED9F-4BA8-BB96-85A686178387}"/>
    <cellStyle name="常规 2 3 2 2 2 3" xfId="4549" xr:uid="{CDED954E-9C7F-4629-BD2F-C9E4A9EF1BF1}"/>
    <cellStyle name="常规 2 3 2 2 3" xfId="4360" xr:uid="{D1553EA0-78FA-4942-B857-BEFA4662862E}"/>
    <cellStyle name="常规 2 3 2 2 3 2" xfId="4551" xr:uid="{FF7D7BCE-2BCA-42BE-B8F4-FE1887D003D6}"/>
    <cellStyle name="常规 2 3 2 2 4" xfId="4548" xr:uid="{EF8D6A68-D4EA-4B2F-9F33-9CDF84DD7856}"/>
    <cellStyle name="常规 2 3 2 3" xfId="3863" xr:uid="{AE8B3CB1-37E0-423D-A174-0A310E4D3CD3}"/>
    <cellStyle name="常规 2 3 2 3 2" xfId="3864" xr:uid="{11D0B812-A682-4A93-92F1-9CB956466BE1}"/>
    <cellStyle name="常规 2 3 2 3 2 2" xfId="4363" xr:uid="{0ADCB0F1-1493-4F9B-A4C1-EB8247C72AD5}"/>
    <cellStyle name="常规 2 3 2 3 2 2 2" xfId="4554" xr:uid="{C01C7D93-69C1-4E73-A4DD-697DF1638B1B}"/>
    <cellStyle name="常规 2 3 2 3 2 3" xfId="4553" xr:uid="{27E2E08E-9BAF-4E23-A8FF-405FC88C9A3A}"/>
    <cellStyle name="常规 2 3 2 3 3" xfId="4362" xr:uid="{2C64A80E-5A3F-48D0-9E4E-410DDD57DE62}"/>
    <cellStyle name="常规 2 3 2 3 3 2" xfId="4555" xr:uid="{9CB32C96-A6AC-4DBB-B76A-C06C3AD3FD7F}"/>
    <cellStyle name="常规 2 3 2 3 4" xfId="4552" xr:uid="{5B71C73F-B48A-4F36-BD22-B636031369DD}"/>
    <cellStyle name="常规 2 3 2 4" xfId="3865" xr:uid="{1727CA47-C060-472F-B072-C9DDB4A83EFA}"/>
    <cellStyle name="常规 2 3 2 4 2" xfId="3866" xr:uid="{074C1AA7-3D20-4F8D-825D-D473356FC750}"/>
    <cellStyle name="常规 2 3 2 4 2 2" xfId="4365" xr:uid="{7819091E-CDE1-4770-868A-30E4E54F4F5B}"/>
    <cellStyle name="常规 2 3 2 4 2 2 2" xfId="4558" xr:uid="{5A4A2D45-222B-432D-A8C9-98977C849F1F}"/>
    <cellStyle name="常规 2 3 2 4 2 3" xfId="4557" xr:uid="{5B425AF0-20B4-4BDC-9AF0-F4E839770D24}"/>
    <cellStyle name="常规 2 3 2 4 3" xfId="4364" xr:uid="{996BDECE-5623-4E7E-AA36-2CB60BC37A90}"/>
    <cellStyle name="常规 2 3 2 4 3 2" xfId="4559" xr:uid="{8515D90D-03E3-4FC8-B515-9B28A2A7F7B8}"/>
    <cellStyle name="常规 2 3 2 4 4" xfId="4556" xr:uid="{A617E292-91BC-44EF-B1F5-60CB750D5B37}"/>
    <cellStyle name="常规 2 3 2 5" xfId="3867" xr:uid="{6F63EC13-DDA2-4C23-BDE8-FBE8EBF8BFAB}"/>
    <cellStyle name="常规 2 3 2 5 2" xfId="3868" xr:uid="{D510A5DA-89A2-4A65-8DAA-A3B177FED9CC}"/>
    <cellStyle name="常规 2 3 2 5 2 2" xfId="4367" xr:uid="{062F57B7-D191-464F-951A-1A41820E9A41}"/>
    <cellStyle name="常规 2 3 2 5 2 2 2" xfId="4562" xr:uid="{595A5232-4EEC-40A9-AC2D-C011127377BD}"/>
    <cellStyle name="常规 2 3 2 5 2 3" xfId="4561" xr:uid="{EBED1CEB-5A51-4227-9172-B30B15B52954}"/>
    <cellStyle name="常规 2 3 2 5 3" xfId="4366" xr:uid="{2AAD50CD-660B-4498-BCB5-37B931312662}"/>
    <cellStyle name="常规 2 3 2 5 3 2" xfId="4563" xr:uid="{E4410B88-7949-4F17-9E57-F9316CEF4833}"/>
    <cellStyle name="常规 2 3 2 5 4" xfId="4560" xr:uid="{DF327C07-830B-4B61-8400-68A9925B7C95}"/>
    <cellStyle name="常规 2 3 2 6" xfId="3869" xr:uid="{D97E02B9-0E3A-45B1-9FB7-C35B82603189}"/>
    <cellStyle name="常规 2 3 2 6 2" xfId="3870" xr:uid="{F0034473-28D1-411D-A8F5-D5F75BDDFDF0}"/>
    <cellStyle name="常规 2 3 2 6 2 2" xfId="3871" xr:uid="{611DAB5F-B8D4-40CB-9442-01B029FB83D8}"/>
    <cellStyle name="常规 2 3 2 6 2 2 2" xfId="4370" xr:uid="{7E3C543D-BCEB-4685-A647-743E9D7076C4}"/>
    <cellStyle name="常规 2 3 2 6 2 2 2 2" xfId="4567" xr:uid="{AA80DA92-72D9-4235-B6C7-03871E833D28}"/>
    <cellStyle name="常规 2 3 2 6 2 2 3" xfId="4566" xr:uid="{C84CE2F0-32E3-40D5-A4B0-4027DB5D52A1}"/>
    <cellStyle name="常规 2 3 2 6 2 3" xfId="4369" xr:uid="{20DE1B68-BF44-4BA3-A8C6-A75A824FACB0}"/>
    <cellStyle name="常规 2 3 2 6 2 3 2" xfId="4568" xr:uid="{FA4F0A81-C4D1-46F4-892C-3DA072FB5849}"/>
    <cellStyle name="常规 2 3 2 6 2 4" xfId="4565" xr:uid="{4738C88E-5EE4-4314-9A37-11502783F097}"/>
    <cellStyle name="常规 2 3 2 6 3" xfId="3872" xr:uid="{3D5F8D89-F937-4BBC-B0EE-F1A0D7A70C90}"/>
    <cellStyle name="常规 2 3 2 6 3 2" xfId="3873" xr:uid="{3E0FF5A8-4D72-4510-99A4-27CD58E64E56}"/>
    <cellStyle name="常规 2 3 2 6 3 2 2" xfId="4372" xr:uid="{F152F950-1A55-4702-9DD3-9955468EA0B9}"/>
    <cellStyle name="常规 2 3 2 6 3 2 2 2" xfId="4571" xr:uid="{AB6F7169-90A7-4A15-85D5-19238C5A5306}"/>
    <cellStyle name="常规 2 3 2 6 3 2 3" xfId="4570" xr:uid="{7B05F855-992A-4FDD-AE4B-C6B913F3BFAA}"/>
    <cellStyle name="常规 2 3 2 6 3 3" xfId="4371" xr:uid="{1443A768-70FA-44A1-A23A-BD16CF76F230}"/>
    <cellStyle name="常规 2 3 2 6 3 3 2" xfId="4572" xr:uid="{3D925DE6-0CBA-4456-8E73-3653E4B15477}"/>
    <cellStyle name="常规 2 3 2 6 3 4" xfId="4569" xr:uid="{781F9FC4-6093-483D-87F2-3CCD189F1A72}"/>
    <cellStyle name="常规 2 3 2 6 4" xfId="3874" xr:uid="{BFD3CF52-0091-4C00-BF73-2C16A8EF7347}"/>
    <cellStyle name="常规 2 3 2 6 4 2" xfId="3875" xr:uid="{ABF6F9E2-54D2-4087-A571-B6A9EC9EA08C}"/>
    <cellStyle name="常规 2 3 2 6 4 2 2" xfId="3876" xr:uid="{53D77855-4AE5-4FE1-877B-AF4803626EA0}"/>
    <cellStyle name="常规 2 3 2 6 4 2 2 2" xfId="4375" xr:uid="{09F5D55F-49E4-4863-8A97-51A0D844C3AA}"/>
    <cellStyle name="常规 2 3 2 6 4 2 2 2 2" xfId="4576" xr:uid="{1DD5ADE0-2A96-4097-82EC-E0C533CB814A}"/>
    <cellStyle name="常规 2 3 2 6 4 2 2 3" xfId="4575" xr:uid="{68051C40-9B51-4458-9E72-F735DD7C6E69}"/>
    <cellStyle name="常规 2 3 2 6 4 2 3" xfId="4374" xr:uid="{D030285C-4881-4546-B458-DF7BB49B5D09}"/>
    <cellStyle name="常规 2 3 2 6 4 2 3 2" xfId="4577" xr:uid="{7207B12B-ECC7-4935-8FB4-AEAB412CEAA8}"/>
    <cellStyle name="常规 2 3 2 6 4 2 4" xfId="4574" xr:uid="{9EDABB6A-B954-4659-B923-F4F59C8D30AC}"/>
    <cellStyle name="常规 2 3 2 6 4 3" xfId="3877" xr:uid="{944BD79A-4FFB-4D2F-9E46-E082B6470153}"/>
    <cellStyle name="常规 2 3 2 6 4 3 2" xfId="4376" xr:uid="{5EAFC5F8-B360-4745-AACA-D415BBDD44EF}"/>
    <cellStyle name="常规 2 3 2 6 4 3 2 2" xfId="4579" xr:uid="{CF2F1C7B-2A5E-4027-AE22-AD793F2994B4}"/>
    <cellStyle name="常规 2 3 2 6 4 3 3" xfId="4578" xr:uid="{922A6C2A-DD04-4812-A6E1-2AB813E979EE}"/>
    <cellStyle name="常规 2 3 2 6 4 4" xfId="4373" xr:uid="{1E655F51-40FD-4A17-AEBA-2E61D63162E7}"/>
    <cellStyle name="常规 2 3 2 6 4 4 2" xfId="4580" xr:uid="{28CC822F-9E4D-4027-BBA1-8698C21241E8}"/>
    <cellStyle name="常规 2 3 2 6 4 5" xfId="4573" xr:uid="{DE3E31F2-726D-4811-A17C-D5394C280F8B}"/>
    <cellStyle name="常规 2 3 2 6 5" xfId="3878" xr:uid="{B8EDDF8A-790D-4E4F-B49A-34888BAB3282}"/>
    <cellStyle name="常规 2 3 2 6 5 2" xfId="4377" xr:uid="{1D1A958A-8948-4344-BF34-6B1F50291E0E}"/>
    <cellStyle name="常规 2 3 2 6 5 2 2" xfId="4582" xr:uid="{3FC577FE-2B1C-4E17-9F6A-ED4E933B6CE3}"/>
    <cellStyle name="常规 2 3 2 6 5 3" xfId="4581" xr:uid="{4EFD5C2B-8F18-4EC4-BCA2-29C36F54DE40}"/>
    <cellStyle name="常规 2 3 2 6 6" xfId="4368" xr:uid="{302FDE50-585F-4BD5-985B-FC9093D1572A}"/>
    <cellStyle name="常规 2 3 2 6 6 2" xfId="4583" xr:uid="{A9A2272C-4922-45CA-9403-C22C88169D17}"/>
    <cellStyle name="常规 2 3 2 6 7" xfId="4564" xr:uid="{EB952B4F-735A-4FAD-AD74-CCCCF5BAA101}"/>
    <cellStyle name="常规 2 3 2 7" xfId="3879" xr:uid="{DBB97040-CCEF-42DC-9394-0F8A549C4C9F}"/>
    <cellStyle name="常规 2 3 2 7 2" xfId="4378" xr:uid="{C047911E-5D40-4741-A921-C3A4CC07E437}"/>
    <cellStyle name="常规 2 3 2 7 2 2" xfId="4585" xr:uid="{0C9DF634-BD29-42D2-9E37-652A8FBA8719}"/>
    <cellStyle name="常规 2 3 2 7 3" xfId="4584" xr:uid="{4B88F1BD-2A54-46F0-90E1-50058A509241}"/>
    <cellStyle name="常规 2 3 2 8" xfId="4359" xr:uid="{26C98609-1BE0-4804-A935-A6BD7B69B2E9}"/>
    <cellStyle name="常规 2 3 2 8 2" xfId="4586" xr:uid="{3B3258F1-729E-470F-979F-E82A99482E75}"/>
    <cellStyle name="常规 2 3 2 9" xfId="4547" xr:uid="{2A6485B4-1C5A-4D26-A0F3-8B7BF9A39D2D}"/>
    <cellStyle name="常规 2 3 3" xfId="3880" xr:uid="{275B96AE-4A16-4CF6-9A32-E757F6EF63F0}"/>
    <cellStyle name="常规 2 3 3 2" xfId="3881" xr:uid="{481C4284-49D5-474A-A974-B7837E758F73}"/>
    <cellStyle name="常规 2 3 3 2 2" xfId="4380" xr:uid="{172F9A78-0CAF-4846-B905-EF5E8833E815}"/>
    <cellStyle name="常规 2 3 3 2 2 2" xfId="4589" xr:uid="{32A47B55-72A3-44C7-80B2-E8E34365AE22}"/>
    <cellStyle name="常规 2 3 3 2 3" xfId="4588" xr:uid="{AB754B6A-B4DF-4988-AB01-F2410F3F1DFC}"/>
    <cellStyle name="常规 2 3 3 3" xfId="4379" xr:uid="{ECFFD826-257E-43C1-9F71-00659F36D28F}"/>
    <cellStyle name="常规 2 3 3 3 2" xfId="4590" xr:uid="{56AD77B8-C97B-4FDD-852E-3D666C9CAD68}"/>
    <cellStyle name="常规 2 3 3 4" xfId="4587" xr:uid="{6D5D9886-3D39-43E6-B33B-716DD7DA5059}"/>
    <cellStyle name="常规 2 3 4" xfId="3882" xr:uid="{6BE469F7-18A1-49F8-B6BC-2E5281F2D998}"/>
    <cellStyle name="常规 2 3 4 2" xfId="3883" xr:uid="{109B2CB1-7B91-4219-B18C-397B3DCA2BF6}"/>
    <cellStyle name="常规 2 3 4 2 2" xfId="4382" xr:uid="{CF06A419-3BC3-4DF7-B282-38B0E5DE133E}"/>
    <cellStyle name="常规 2 3 4 2 2 2" xfId="4593" xr:uid="{F278586C-251A-49FC-87CA-1474ECEEDF96}"/>
    <cellStyle name="常规 2 3 4 2 3" xfId="4592" xr:uid="{E0445EBF-7A9E-4EBF-B20C-66E6CC63DA2D}"/>
    <cellStyle name="常规 2 3 4 3" xfId="4381" xr:uid="{C316F1AF-9E14-4898-B7CA-D382AD4493D7}"/>
    <cellStyle name="常规 2 3 4 3 2" xfId="4594" xr:uid="{11BDEF3A-B452-4039-A12E-8AFFD68C615C}"/>
    <cellStyle name="常规 2 3 4 4" xfId="4591" xr:uid="{94E5ED67-CA43-4789-8FDC-8D0AEB2951BB}"/>
    <cellStyle name="常规 2 3 5" xfId="3884" xr:uid="{E7CB0C37-8E9E-457D-9137-DE2335BFD4CF}"/>
    <cellStyle name="常规 2 3 5 2" xfId="3885" xr:uid="{2D9C474B-6656-4520-B9C2-D1EC354AE7A4}"/>
    <cellStyle name="常规 2 3 5 2 2" xfId="4384" xr:uid="{9C2E20D8-574B-43DA-845C-6780E9522392}"/>
    <cellStyle name="常规 2 3 5 2 2 2" xfId="4597" xr:uid="{99A32F26-6164-4FC6-B1C4-FE393FF06597}"/>
    <cellStyle name="常规 2 3 5 2 3" xfId="4596" xr:uid="{30A10F39-49C6-4840-9FE4-CE3552E3C41B}"/>
    <cellStyle name="常规 2 3 5 3" xfId="4383" xr:uid="{297D2E43-51B1-4E1F-A616-6E1622E78171}"/>
    <cellStyle name="常规 2 3 5 3 2" xfId="4598" xr:uid="{1FC2BF26-36E9-42C7-83E5-C38EDA3AAE5E}"/>
    <cellStyle name="常规 2 3 5 4" xfId="4595" xr:uid="{8611B33F-1FF8-4A97-A008-E799F80E44ED}"/>
    <cellStyle name="常规 2 3 6" xfId="3886" xr:uid="{21CD9060-B866-4D09-9012-27049215B652}"/>
    <cellStyle name="常规 2 3 6 2" xfId="3887" xr:uid="{C39C3127-FB90-41FB-B834-FEBF0479F10F}"/>
    <cellStyle name="常规 2 3 6 2 2" xfId="3888" xr:uid="{F9B851FE-AE3E-4587-A13E-07617281BF61}"/>
    <cellStyle name="常规 2 3 6 2 2 2" xfId="4387" xr:uid="{78DA3370-B5FF-4C43-8154-DA8E10760632}"/>
    <cellStyle name="常规 2 3 6 2 2 2 2" xfId="4602" xr:uid="{E8A8D479-2683-4CCA-AEFC-8667FC00961D}"/>
    <cellStyle name="常规 2 3 6 2 2 3" xfId="4601" xr:uid="{5DEA032A-30B5-47DE-BD45-949AA5273B01}"/>
    <cellStyle name="常规 2 3 6 2 3" xfId="4386" xr:uid="{E80E0EDB-5C88-4F80-884B-D4D634F9F62C}"/>
    <cellStyle name="常规 2 3 6 2 3 2" xfId="4603" xr:uid="{5BC1C074-BFA5-42DC-B1B1-CB0D27862FE1}"/>
    <cellStyle name="常规 2 3 6 2 4" xfId="4600" xr:uid="{EE913EDF-602B-4915-9CE6-65273D2A50A6}"/>
    <cellStyle name="常规 2 3 6 3" xfId="3889" xr:uid="{24C7DA3C-322C-40B8-A27D-55AE01FE36F9}"/>
    <cellStyle name="常规 2 3 6 3 2" xfId="4388" xr:uid="{6FE14E7E-00AF-4CF7-81C8-25E443730CC4}"/>
    <cellStyle name="常规 2 3 6 3 2 2" xfId="4605" xr:uid="{5B24A1F3-DC21-4DDC-8011-95FA3E05BF0A}"/>
    <cellStyle name="常规 2 3 6 3 3" xfId="4604" xr:uid="{8E6EE4D2-988E-4118-95C8-FFDDF07D899F}"/>
    <cellStyle name="常规 2 3 6 4" xfId="4385" xr:uid="{766C1D7C-EEAE-4B48-B99B-212C978E684C}"/>
    <cellStyle name="常规 2 3 6 4 2" xfId="4606" xr:uid="{F95BAA0A-4555-4ADB-A9D2-C7984BB271FE}"/>
    <cellStyle name="常规 2 3 6 5" xfId="4599" xr:uid="{B0FAC6DB-BBAC-47C0-B4D6-829FA23BBDED}"/>
    <cellStyle name="常规 2 3 7" xfId="3890" xr:uid="{D61EBEE3-BA5B-4CBE-96C2-AB429ED40A87}"/>
    <cellStyle name="常规 2 3 7 2" xfId="4389" xr:uid="{90D3151F-FFDF-4FF8-95E3-990A41D0F06A}"/>
    <cellStyle name="常规 2 3 7 2 2" xfId="4608" xr:uid="{DA8E08DC-A977-4FFD-A4ED-52DB573B14DA}"/>
    <cellStyle name="常规 2 3 7 3" xfId="4607" xr:uid="{6442FAC4-8A56-4593-B9F1-06DDE73E5141}"/>
    <cellStyle name="常规 2 3 8" xfId="3859" xr:uid="{ECEC376B-3A93-44D5-8126-C47F0C6ECC8D}"/>
    <cellStyle name="常规 2 3 8 2" xfId="4358" xr:uid="{8CBA595F-9B9A-427A-9D61-4B5D99554EBF}"/>
    <cellStyle name="常规 2 3 8 2 2" xfId="4610" xr:uid="{F94E8E90-BC4D-40E0-AD0A-56CC89A0842D}"/>
    <cellStyle name="常规 2 3 8 3" xfId="4609" xr:uid="{2041F57A-7D8E-4215-942A-6438984E71C2}"/>
    <cellStyle name="常规 2 4" xfId="3435" xr:uid="{EC91BCF4-377C-4C5E-9FE3-6145EAB385AF}"/>
    <cellStyle name="常规 2 4 2" xfId="3891" xr:uid="{19C6D2D0-6C29-4475-A4B3-80307ECD94F9}"/>
    <cellStyle name="常规 2 4 3" xfId="4057" xr:uid="{C3C6AB97-C872-4378-B4F6-D17B1358DB8C}"/>
    <cellStyle name="常规 2 5" xfId="3892" xr:uid="{D5213C84-2C7F-4B9D-9A3F-DF143DF695B0}"/>
    <cellStyle name="常规 2 6" xfId="3893" xr:uid="{B3B6BC9A-3E5A-47A6-8B9A-BE3B8BEA1ED4}"/>
    <cellStyle name="常规 2 7" xfId="3894" xr:uid="{FC2764C5-61BD-41AA-BFBC-D7954B8BD97A}"/>
    <cellStyle name="常规 2 8" xfId="3895" xr:uid="{BA9DD63C-FCA6-4CF5-A382-26519673C630}"/>
    <cellStyle name="常规 2 9" xfId="3896" xr:uid="{CF59790B-A6E7-4D51-844D-B1AC49043E5A}"/>
    <cellStyle name="常规 2_宁波镇海新城项目规划指标汇总表 (2)" xfId="3436" xr:uid="{5007F326-E5ED-439B-8933-48530AAC295F}"/>
    <cellStyle name="常规 20" xfId="3897" xr:uid="{BFBEED40-1D0C-4373-8CB7-8B377B88BCDD}"/>
    <cellStyle name="常规 20 2" xfId="3898" xr:uid="{9D0EE36E-5BCA-4958-A533-E20C198EC8BA}"/>
    <cellStyle name="常规 20 2 2" xfId="4391" xr:uid="{D24F0C7A-4206-4202-9A02-1F68928D3DD0}"/>
    <cellStyle name="常规 20 2 2 2" xfId="4613" xr:uid="{950C6D23-00AE-4424-9F5A-B721FFD63695}"/>
    <cellStyle name="常规 20 2 3" xfId="4612" xr:uid="{FA75C0B7-DF61-4FAA-80C3-A9B351E85F57}"/>
    <cellStyle name="常规 20 3" xfId="4390" xr:uid="{CB61BCBF-FBB7-4679-B267-6854997D2D6C}"/>
    <cellStyle name="常规 20 3 2" xfId="4614" xr:uid="{FBEE6463-29EA-4638-9CC7-CF52A9626CAD}"/>
    <cellStyle name="常规 20 4" xfId="4611" xr:uid="{EA31C17B-8C55-4035-8FA7-77A73C5149DC}"/>
    <cellStyle name="常规 21" xfId="3899" xr:uid="{7584F3E7-98AB-4F96-B72D-93C3FE5260A5}"/>
    <cellStyle name="常规 21 2" xfId="3900" xr:uid="{224EE2AB-8F2E-40F4-848D-1E3374D973C8}"/>
    <cellStyle name="常规 21 2 2" xfId="4393" xr:uid="{9C894DEB-C65D-4039-B0F1-DA68D92F08BD}"/>
    <cellStyle name="常规 21 2 2 2" xfId="4617" xr:uid="{57C2442D-A46A-49F1-BBEC-9220EC6EEEC2}"/>
    <cellStyle name="常规 21 2 3" xfId="4616" xr:uid="{10914ADF-A6DC-4D01-956A-CE61EDAE41ED}"/>
    <cellStyle name="常规 21 3" xfId="4392" xr:uid="{382E40F7-CC0B-48AD-AB97-3700DCA61B3C}"/>
    <cellStyle name="常规 21 3 2" xfId="4618" xr:uid="{70F60D58-771B-426D-A2B7-3F3C9267747D}"/>
    <cellStyle name="常规 21 4" xfId="4615" xr:uid="{B37A8E7B-F738-4DD4-85B3-CB6CB22B994B}"/>
    <cellStyle name="常规 22" xfId="3901" xr:uid="{18583341-20E1-4177-8464-0F703AA2740C}"/>
    <cellStyle name="常规 22 2" xfId="3902" xr:uid="{B7B818D9-1A46-4473-9A99-A81602D4517D}"/>
    <cellStyle name="常规 22 2 2" xfId="4395" xr:uid="{069C783B-88A1-4084-B690-5F6C17839B6C}"/>
    <cellStyle name="常规 22 2 2 2" xfId="4621" xr:uid="{985EF1D1-4037-49C7-AE9D-92FD68DD40F1}"/>
    <cellStyle name="常规 22 2 3" xfId="4620" xr:uid="{DBEBD53D-C47A-4259-9823-824D9C6C93AC}"/>
    <cellStyle name="常规 22 3" xfId="4394" xr:uid="{8D70D371-80F8-4C93-8996-4AFDEDE20461}"/>
    <cellStyle name="常规 22 3 2" xfId="4622" xr:uid="{C600D171-7C18-4236-8922-159A6586CD20}"/>
    <cellStyle name="常规 22 4" xfId="4619" xr:uid="{291DC9D1-C2A0-42D4-9FE9-324CCEB9B450}"/>
    <cellStyle name="常规 23" xfId="3903" xr:uid="{749717C1-88D2-4175-A5CB-F363C2503098}"/>
    <cellStyle name="常规 23 2" xfId="3904" xr:uid="{7BF20EA0-90ED-47BC-9F4E-6A2934D1FE26}"/>
    <cellStyle name="常规 23 2 2" xfId="4397" xr:uid="{45C5E4D4-6295-4E14-B91B-A2CF38EAC603}"/>
    <cellStyle name="常规 23 2 2 2" xfId="4625" xr:uid="{116545F4-F52F-4440-85CC-270C23CC08B1}"/>
    <cellStyle name="常规 23 2 3" xfId="4624" xr:uid="{B0E46B3F-656A-44EB-A755-73FF0438D6B4}"/>
    <cellStyle name="常规 23 3" xfId="4396" xr:uid="{E1249838-EE5F-4B2E-81D7-8AFB0D1BB561}"/>
    <cellStyle name="常规 23 3 2" xfId="4626" xr:uid="{4F99AADA-77E2-40A1-8C5A-DEA1C73CB416}"/>
    <cellStyle name="常规 23 4" xfId="4623" xr:uid="{0CFEDB78-78B0-4BCD-A296-A46A10EBF732}"/>
    <cellStyle name="常规 24" xfId="3905" xr:uid="{1ABF214A-532C-4673-BA36-7D7553224CC9}"/>
    <cellStyle name="常规 24 2" xfId="4398" xr:uid="{E3FFE06A-ADD1-49F1-ABCD-571D9597CFCA}"/>
    <cellStyle name="常规 24 2 2" xfId="4628" xr:uid="{94F41CEE-EF23-4D2B-971B-C88D408A1A3F}"/>
    <cellStyle name="常规 24 3" xfId="4627" xr:uid="{447998E3-8977-4C99-B920-B771C846A57F}"/>
    <cellStyle name="常规 25" xfId="3906" xr:uid="{BD9A52E1-E9A1-4BD5-A243-CC629CE6BFF7}"/>
    <cellStyle name="常规 25 2" xfId="4399" xr:uid="{66FC63D7-59BA-4906-B328-0B6429967478}"/>
    <cellStyle name="常规 25 2 2" xfId="4630" xr:uid="{0A1D8378-E7A7-42B5-A658-4FB2FDCE2F7E}"/>
    <cellStyle name="常规 25 3" xfId="4629" xr:uid="{5B8542F4-F064-4FDE-9E15-B39E070AB446}"/>
    <cellStyle name="常规 26" xfId="4061" xr:uid="{2701E9E2-D16D-41BF-B250-48652ABF9265}"/>
    <cellStyle name="常规 27" xfId="4437" xr:uid="{F2A6C74D-48A0-4A02-BD1C-CD54AF23E54F}"/>
    <cellStyle name="常规 28" xfId="4440" xr:uid="{33696FEE-5AAF-4FA1-A145-0D0C8A5C7D54}"/>
    <cellStyle name="常规 29" xfId="3907" xr:uid="{EA790579-E8AF-48FC-B5D6-0E24FBE67F63}"/>
    <cellStyle name="常规 29 2" xfId="4400" xr:uid="{5FF3CB91-ABED-40DB-83C7-E1B874AA01CE}"/>
    <cellStyle name="常规 3" xfId="3437" xr:uid="{030F9CFF-EFB4-41DD-83FA-6D8C62FA400C}"/>
    <cellStyle name="常规 3 10" xfId="3908" xr:uid="{10374A76-ED5A-4F98-945D-EE1B8DF04D5F}"/>
    <cellStyle name="常规 3 11" xfId="3909" xr:uid="{592A97AA-CB03-44E1-85A5-519678D70A71}"/>
    <cellStyle name="常规 3 11 2" xfId="3910" xr:uid="{6848923A-6076-4FD9-9794-058DA2888828}"/>
    <cellStyle name="常规 3 2" xfId="3438" xr:uid="{8FFD4109-3F55-420B-914B-4756E56E6A47}"/>
    <cellStyle name="常规 3 2 10" xfId="3912" xr:uid="{1E521215-D6A3-428B-9E66-03A4D6677B22}"/>
    <cellStyle name="常规 3 2 11" xfId="3911" xr:uid="{2D2AD445-6B67-42BD-9205-07D4B4F0207F}"/>
    <cellStyle name="常规 3 2 11 2" xfId="4401" xr:uid="{39CCC511-8E83-45D8-8B83-9431FE5C19F3}"/>
    <cellStyle name="常规 3 2 2" xfId="3913" xr:uid="{ABDFE50F-B1F5-440C-8FC7-4CA17BFF807B}"/>
    <cellStyle name="常规 3 2 2 2" xfId="3914" xr:uid="{7BF7BCB3-0D2F-493E-859A-9ED10F84E83E}"/>
    <cellStyle name="常规 3 2 2 2 2" xfId="3915" xr:uid="{D4B758C9-D83F-4275-B401-4868CAD38A74}"/>
    <cellStyle name="常规 3 2 2 2 3" xfId="3916" xr:uid="{02C99046-4F10-4258-B4EB-BB6C85A4D698}"/>
    <cellStyle name="常规 3 2 2 2 4" xfId="3917" xr:uid="{772DD3A1-2A09-42E8-82A5-0EDAFCAC3F89}"/>
    <cellStyle name="常规 3 2 2 2 5" xfId="3918" xr:uid="{6FD10C9E-23A9-4C48-A0D5-AF42182BFAE1}"/>
    <cellStyle name="常规 3 2 2 2 6" xfId="3919" xr:uid="{A066C255-0734-4D5F-8E77-502A14774B4B}"/>
    <cellStyle name="常规 3 2 2 2 7" xfId="3920" xr:uid="{DC0F0973-74C4-48AD-B25B-5D090BB63156}"/>
    <cellStyle name="常规 3 2 2_P215-860-20110713-VO List" xfId="3921" xr:uid="{F3FBCAB4-3A54-4F33-BEAB-53BD8DAA652C}"/>
    <cellStyle name="常规 3 2 3" xfId="3922" xr:uid="{F989E602-C7B8-4EB1-A553-1691EB3842D5}"/>
    <cellStyle name="常规 3 2 3 2" xfId="3923" xr:uid="{83AB4158-82FE-4422-87E9-4BF3B4E0D2E4}"/>
    <cellStyle name="常规 3 2 3 3" xfId="3924" xr:uid="{8F94FAED-F3BC-4390-A48E-6AEC40FC6911}"/>
    <cellStyle name="常规 3 2 3 4" xfId="3925" xr:uid="{69946F9B-086E-494E-B633-13DB2D98F9B7}"/>
    <cellStyle name="常规 3 2 3 5" xfId="3926" xr:uid="{C1E00AD9-1203-46D2-9D6E-FD1793E9AA4F}"/>
    <cellStyle name="常规 3 2 3 6" xfId="3927" xr:uid="{376B23DC-7B68-4AA7-BC24-7D449B521E15}"/>
    <cellStyle name="常规 3 2 3 7" xfId="3928" xr:uid="{035EB71A-50AC-4DFA-B1D2-E476E3948407}"/>
    <cellStyle name="常规 3 2 4" xfId="3929" xr:uid="{F9869A01-1DD0-4CF6-B149-2B0335D51D23}"/>
    <cellStyle name="常规 3 2 5" xfId="3930" xr:uid="{02F498A6-46EB-4D25-A39E-7B833263D967}"/>
    <cellStyle name="常规 3 2 6" xfId="3931" xr:uid="{63C3B51C-1CAD-45FF-8059-EE3E6DCF6DB3}"/>
    <cellStyle name="常规 3 2 7" xfId="3932" xr:uid="{352DE09B-9CA1-4975-B810-062EDF4787E2}"/>
    <cellStyle name="常规 3 2 8" xfId="3933" xr:uid="{3A00F648-F3A1-457E-BEA9-2DCA7A2DC103}"/>
    <cellStyle name="常规 3 2 9" xfId="3934" xr:uid="{E5BCFB69-1122-4850-A490-0494045222C5}"/>
    <cellStyle name="常规 3 2_P215-860-20110713-VO List" xfId="3935" xr:uid="{183B113A-BD7C-4E2B-A9E8-795277DF9B04}"/>
    <cellStyle name="常规 3 3" xfId="3936" xr:uid="{F0010BF0-76B7-4C68-975F-787061E81AD5}"/>
    <cellStyle name="常规 3 3 2" xfId="3937" xr:uid="{A2C86925-4D76-4A54-9F17-72984925E178}"/>
    <cellStyle name="常规 3 3 2 2" xfId="3938" xr:uid="{969A6232-7354-4075-9C88-E4B8E7BA5D6F}"/>
    <cellStyle name="常规 3 3 2 3" xfId="3939" xr:uid="{C75A5809-AF6F-4BE0-9AFA-987B87530A61}"/>
    <cellStyle name="常规 3 3 2 4" xfId="3940" xr:uid="{65A295D6-6FB4-4349-A7B9-99AA1D0C7F6C}"/>
    <cellStyle name="常规 3 3 2 5" xfId="3941" xr:uid="{0872564D-967A-4D76-9FCF-9770A652F60D}"/>
    <cellStyle name="常规 3 3 2 6" xfId="3942" xr:uid="{B4207487-698E-4E40-B7D4-54F8BE451C98}"/>
    <cellStyle name="常规 3 3 2 7" xfId="3943" xr:uid="{2F1ED6BB-80E8-423C-ABD4-A2FD1B7254C6}"/>
    <cellStyle name="常规 3 4" xfId="3944" xr:uid="{479AE022-B242-4AB7-AF08-3296432C5F53}"/>
    <cellStyle name="常规 3 4 2" xfId="3945" xr:uid="{994E8166-4B88-4127-B8D1-0B1EC5112D95}"/>
    <cellStyle name="常规 3 4 3" xfId="3946" xr:uid="{C5052E27-32AB-4694-92EB-910C74AC548A}"/>
    <cellStyle name="常规 3 4 4" xfId="3947" xr:uid="{7F438A3D-CDE3-4345-A6C5-D2A871DF743B}"/>
    <cellStyle name="常规 3 4 5" xfId="3948" xr:uid="{D786994D-E39A-4A64-A5F6-4890BDC26B25}"/>
    <cellStyle name="常规 3 4 6" xfId="3949" xr:uid="{1B5E8260-A863-4139-9708-5486097F197A}"/>
    <cellStyle name="常规 3 4 7" xfId="3950" xr:uid="{163EB9F8-B4C1-459E-98A6-E6AC4F8DDB69}"/>
    <cellStyle name="常规 3 5" xfId="3951" xr:uid="{FAE41496-871E-495F-AAA0-58473470EB8E}"/>
    <cellStyle name="常规 3 6" xfId="3952" xr:uid="{65895D72-016D-490B-8A9B-2E342C6D2F57}"/>
    <cellStyle name="常规 3 7" xfId="3953" xr:uid="{87E3F317-AE64-4E99-BCC4-FADA220E6B3B}"/>
    <cellStyle name="常规 3 8" xfId="3954" xr:uid="{36DD0FF5-EF6F-4E7E-ADA0-FE8DFDF86F62}"/>
    <cellStyle name="常规 3 9" xfId="3955" xr:uid="{4A08FEF0-B9D9-45CB-A8D0-6745A254ED1C}"/>
    <cellStyle name="常规 30" xfId="125" xr:uid="{9717053D-429A-4193-B54D-32F9A3F8D76A}"/>
    <cellStyle name="常规 4" xfId="3439" xr:uid="{DB324040-D50A-424E-B421-4AAC5C05BB16}"/>
    <cellStyle name="常规 4 2" xfId="3956" xr:uid="{E967E303-94C5-4BF0-9703-36B7B0DC4F28}"/>
    <cellStyle name="常规 4 2 2" xfId="3957" xr:uid="{35665E76-6469-46AB-A2DA-C06F437BB656}"/>
    <cellStyle name="常规 4 3" xfId="3958" xr:uid="{0F727261-7CB1-47E0-AEBC-8119097CD0C0}"/>
    <cellStyle name="常规 4 4" xfId="3959" xr:uid="{3733A24B-DBC1-4181-8794-CE56B892290D}"/>
    <cellStyle name="常规 5" xfId="3440" xr:uid="{49EB36CF-B7AA-4A11-A703-A6E62A6BAB3A}"/>
    <cellStyle name="常规 5 2" xfId="3960" xr:uid="{035E88FD-A3EB-4A36-9772-B51806914933}"/>
    <cellStyle name="常规 5 3" xfId="3961" xr:uid="{96D85AFD-DC85-4E24-9960-8C2C57059186}"/>
    <cellStyle name="常规 5 4" xfId="3569" xr:uid="{E01960FA-6D05-4651-8871-2032C125B1C9}"/>
    <cellStyle name="常规 6" xfId="3441" xr:uid="{A9730E13-5C44-49EF-8F85-1871859A1F12}"/>
    <cellStyle name="常规 6 2" xfId="3962" xr:uid="{CCE3D340-893F-4357-9896-82D5D591F5F1}"/>
    <cellStyle name="常规 6 2 2" xfId="3963" xr:uid="{939FB452-A18B-4FC5-BD4E-19BAA830B1D1}"/>
    <cellStyle name="常规 6 3" xfId="3964" xr:uid="{8526311E-A728-420B-83ED-E1CDF93B4E47}"/>
    <cellStyle name="常规 6 4" xfId="3570" xr:uid="{78A4D5DF-FA22-4B9E-9F79-DFF265D00506}"/>
    <cellStyle name="常规 7" xfId="3442" xr:uid="{F481BB18-2AF5-4964-B11B-4F9EEFAD1EFF}"/>
    <cellStyle name="常规 7 2" xfId="3443" xr:uid="{B9D94DF5-0A68-4DEB-B10A-D37441938C23}"/>
    <cellStyle name="常规 7 2 2" xfId="3444" xr:uid="{22B42FA0-1305-4BBE-B7D3-BC587D097669}"/>
    <cellStyle name="常规 7 2 3" xfId="3965" xr:uid="{D125E615-BFFE-445D-AAB3-78BDC9997937}"/>
    <cellStyle name="常规 7 3" xfId="3966" xr:uid="{A093FF77-96D3-4A2C-BE2B-0B7EACEBAEEA}"/>
    <cellStyle name="常规 7 3 2" xfId="3967" xr:uid="{CBE854D8-9987-452A-AA74-4879FDDD901E}"/>
    <cellStyle name="常规 7 3 2 2" xfId="4403" xr:uid="{5CED94F9-A02B-4729-8636-63E587A064C6}"/>
    <cellStyle name="常规 7 3 2 2 2" xfId="4633" xr:uid="{7097AA41-CD50-4771-8E5B-F25E32C068A0}"/>
    <cellStyle name="常规 7 3 2 3" xfId="4632" xr:uid="{662EFD58-7CEE-4C04-947E-3DD60799937A}"/>
    <cellStyle name="常规 7 3 3" xfId="4402" xr:uid="{9FAB7962-B3DA-4AE9-8290-F53B4512CB48}"/>
    <cellStyle name="常规 7 3 3 2" xfId="4634" xr:uid="{F1D74480-CCE9-4ED1-BF39-8ABD0C9AFE4A}"/>
    <cellStyle name="常规 7 3 4" xfId="4631" xr:uid="{71BF2924-96AB-4C51-B5EC-10DD593F0C93}"/>
    <cellStyle name="常规 7 4" xfId="3968" xr:uid="{9B17E754-2582-416C-9C36-660500883806}"/>
    <cellStyle name="常规 7 4 10" xfId="4635" xr:uid="{CD5576D0-1528-408C-A818-C9806335AC4E}"/>
    <cellStyle name="常规 7 4 2" xfId="3969" xr:uid="{E01A4CE9-3720-43C2-A1E7-7E75D3A566AD}"/>
    <cellStyle name="常规 7 4 2 2" xfId="3970" xr:uid="{30D00AFC-8AB1-4672-A758-92D7976C8760}"/>
    <cellStyle name="常规 7 4 2 2 2" xfId="4406" xr:uid="{0F64E46F-0746-4A2B-B9BB-287C8938949B}"/>
    <cellStyle name="常规 7 4 2 2 2 2" xfId="4638" xr:uid="{8B166A98-F4FF-4538-B995-F911AC724994}"/>
    <cellStyle name="常规 7 4 2 2 3" xfId="4637" xr:uid="{0FC70827-8EC5-48BD-9189-53932ED0177A}"/>
    <cellStyle name="常规 7 4 2 3" xfId="4405" xr:uid="{707458AC-FBA4-4C7B-A6C5-0754AC8E9458}"/>
    <cellStyle name="常规 7 4 2 3 2" xfId="4639" xr:uid="{0E7A5633-F811-4024-A4AF-48054137C93F}"/>
    <cellStyle name="常规 7 4 2 4" xfId="4636" xr:uid="{4FD94B2C-EB3B-4593-A7B5-22FC8188F202}"/>
    <cellStyle name="常规 7 4 3" xfId="3971" xr:uid="{59C0A8CB-27DD-401A-971C-A0670B6E269E}"/>
    <cellStyle name="常规 7 4 3 2" xfId="3972" xr:uid="{7B290DEB-6117-4EA2-A5D9-438435F84C7E}"/>
    <cellStyle name="常规 7 4 3 2 2" xfId="4408" xr:uid="{E9C42CB1-41B2-4124-992E-FBFAC32B1619}"/>
    <cellStyle name="常规 7 4 3 2 2 2" xfId="4642" xr:uid="{D3152107-F044-449F-BB87-E9B8D581C765}"/>
    <cellStyle name="常规 7 4 3 2 3" xfId="4641" xr:uid="{B989C019-CACF-44D7-9381-6252439A3F9E}"/>
    <cellStyle name="常规 7 4 3 3" xfId="4407" xr:uid="{AB581C6D-15C4-4D6E-BCA4-8AF16901F6F9}"/>
    <cellStyle name="常规 7 4 3 3 2" xfId="4643" xr:uid="{C22EDEF9-5B3B-44BC-BC02-59A5BE4C3D4E}"/>
    <cellStyle name="常规 7 4 3 4" xfId="4640" xr:uid="{A2BD7037-7C4D-4BA0-A43F-74FF50CC7015}"/>
    <cellStyle name="常规 7 4 4" xfId="3973" xr:uid="{1E75F646-A1B8-44E0-883B-F891902359F1}"/>
    <cellStyle name="常规 7 4 4 2" xfId="3974" xr:uid="{AFBD7262-9D67-4D7D-A2EF-0C124552A55B}"/>
    <cellStyle name="常规 7 4 4 2 2" xfId="4410" xr:uid="{B794973C-72B5-49FD-91D8-DE482C26C309}"/>
    <cellStyle name="常规 7 4 4 2 2 2" xfId="4646" xr:uid="{161D787E-6CE6-4A85-8A90-1ECD606C5535}"/>
    <cellStyle name="常规 7 4 4 2 3" xfId="4645" xr:uid="{A8B016B9-1951-4678-A40C-2448B54184FE}"/>
    <cellStyle name="常规 7 4 4 3" xfId="4409" xr:uid="{547A0675-D846-42E4-B5B4-484E15DE315F}"/>
    <cellStyle name="常规 7 4 4 3 2" xfId="4647" xr:uid="{9E18EF5D-A681-4507-855F-DBD34928BB44}"/>
    <cellStyle name="常规 7 4 4 4" xfId="4644" xr:uid="{CED2EB59-E5E2-48CF-8277-A9B772F4DBDD}"/>
    <cellStyle name="常规 7 4 5" xfId="3975" xr:uid="{2F6A189C-D301-46CE-AE61-8D4AAC980200}"/>
    <cellStyle name="常规 7 4 5 2" xfId="4411" xr:uid="{1D926B2E-EF96-4246-8C31-B19C8B068A18}"/>
    <cellStyle name="常规 7 4 5 2 2" xfId="4649" xr:uid="{A53669A7-A20C-472C-AA1F-A4FDFEEE698E}"/>
    <cellStyle name="常规 7 4 5 3" xfId="4648" xr:uid="{2B024D21-CFAB-4148-B439-65207B785344}"/>
    <cellStyle name="常规 7 4 6" xfId="3976" xr:uid="{A003BD1E-894B-4A7F-A996-69B0D7EE5FB5}"/>
    <cellStyle name="常规 7 4 6 2" xfId="4412" xr:uid="{60517F0C-63D9-4E0F-A55C-78BBA6252E44}"/>
    <cellStyle name="常规 7 4 6 2 2" xfId="4651" xr:uid="{7B9B9451-0402-4F1D-9ADD-CED531F923A5}"/>
    <cellStyle name="常规 7 4 6 3" xfId="4650" xr:uid="{653BF404-BA8D-4F82-A1AA-0DAF06B9773F}"/>
    <cellStyle name="常规 7 4 7" xfId="3977" xr:uid="{E5B27DD8-E119-4C41-8407-107B39DE35F8}"/>
    <cellStyle name="常规 7 4 7 2" xfId="4413" xr:uid="{1A0077DC-D736-471F-A835-037BDCD5B452}"/>
    <cellStyle name="常规 7 4 7 2 2" xfId="4653" xr:uid="{0EF3B6B0-13A9-47DA-881C-9C73EB726B3A}"/>
    <cellStyle name="常规 7 4 7 3" xfId="4652" xr:uid="{079CF63D-B635-4A17-A551-B8223A58C08A}"/>
    <cellStyle name="常规 7 4 8" xfId="3978" xr:uid="{1F3F9333-C8F5-487F-863F-3E84E58AA0AD}"/>
    <cellStyle name="常规 7 4 8 2" xfId="4414" xr:uid="{ABC53733-D014-485C-B23C-707CE21D4C53}"/>
    <cellStyle name="常规 7 4 8 2 2" xfId="4655" xr:uid="{14C85448-945E-4EFD-BBEE-E205A285A280}"/>
    <cellStyle name="常规 7 4 8 3" xfId="4654" xr:uid="{EA7D3F5F-82C3-4655-8F6F-A46288620DEE}"/>
    <cellStyle name="常规 7 4 9" xfId="4404" xr:uid="{4C4D2F6F-C122-4EFD-88AB-6D352C8C1057}"/>
    <cellStyle name="常规 7 4 9 2" xfId="4656" xr:uid="{2E64F85C-8006-4C85-A7DD-A149594FC667}"/>
    <cellStyle name="常规 7 5" xfId="3979" xr:uid="{E645BF44-E7CA-441E-877B-F81323577FD3}"/>
    <cellStyle name="常规 7 6" xfId="3571" xr:uid="{35798197-F928-485F-AE7F-266AEBDB4621}"/>
    <cellStyle name="常规 8" xfId="3445" xr:uid="{4372354C-1E8F-4616-8FF3-481082CDDE38}"/>
    <cellStyle name="常规 8 2" xfId="3446" xr:uid="{68948314-8A54-496F-8EB1-E7A2FBD05DD8}"/>
    <cellStyle name="常规 8 2 2" xfId="3980" xr:uid="{166AA8D4-3B92-4ECD-821D-8F93524638EB}"/>
    <cellStyle name="常规 8 3" xfId="3572" xr:uid="{CD029216-F101-40A3-86E1-DD8E5630B42F}"/>
    <cellStyle name="常规 8_华南项目D地块项目测算20111225" xfId="3447" xr:uid="{35CEA1AD-D63B-4BD0-B763-135B41BE65D1}"/>
    <cellStyle name="常规 9" xfId="3448" xr:uid="{7629A1AB-5AA4-48EC-A99C-79E6DAA41369}"/>
    <cellStyle name="常规 9 2" xfId="3981" xr:uid="{9B0254F7-846C-4D7C-A344-1C868413EBE5}"/>
    <cellStyle name="常规 9 3" xfId="3573" xr:uid="{7D61AE33-057A-4F75-B02B-1CF1CAFA0950}"/>
    <cellStyle name="常规 9 3 2" xfId="4327" xr:uid="{FF9A79FE-715F-4B59-B0F3-F768945D20FB}"/>
    <cellStyle name="常规 9 3 2 2" xfId="4658" xr:uid="{CE905C1F-3143-4AFC-8121-96B5BEC58548}"/>
    <cellStyle name="常规 9 3 3" xfId="4657" xr:uid="{F6A09F69-9F6B-4BD5-97DB-F960F11E0B66}"/>
    <cellStyle name="常规_Project Back-of-envelope Underwriting Tian Yue v5 2" xfId="90" xr:uid="{00000000-0005-0000-0000-00001F000000}"/>
    <cellStyle name="説明文" xfId="4029" xr:uid="{E4E47636-9038-4335-AD52-CA2E4DFEFB1B}"/>
    <cellStyle name="說明文字" xfId="3516" xr:uid="{94054C60-119C-4F5D-BC42-6DDCEF3C7E7B}"/>
    <cellStyle name="輸入" xfId="3515" xr:uid="{EE0DEB19-DEFF-431A-B255-6E1F12C68BEB}"/>
    <cellStyle name="輸入 2" xfId="4126" xr:uid="{DC34BFF4-8D1C-4C0E-BE8F-6B8DF7AFDC63}"/>
    <cellStyle name="輸入 3" xfId="4145" xr:uid="{218021BA-5B9E-40EF-A3FA-B15D83E48693}"/>
    <cellStyle name="輸出" xfId="3514" xr:uid="{1F255BF8-2390-47D5-9B95-A41E26983485}"/>
    <cellStyle name="輸出 2" xfId="4127" xr:uid="{9A48DE02-D56E-428F-AADF-41C811426C7C}"/>
    <cellStyle name="輸出 3" xfId="4146" xr:uid="{D869E9ED-86A9-4127-91FA-73403E5D95FF}"/>
    <cellStyle name="隨後的超連結" xfId="3517" xr:uid="{D3FA2DAC-FF96-49FC-809E-0C04AF5F6FD6}"/>
    <cellStyle name="输入 2" xfId="4488" xr:uid="{ABF2C456-E30E-4C29-9CEE-38081B24BECA}"/>
    <cellStyle name="输出 2" xfId="4489" xr:uid="{C421A3AD-1106-440F-99ED-FD699AB13C71}"/>
    <cellStyle name="쉼표 [0]" xfId="4808" builtinId="6"/>
    <cellStyle name="쉼표 [0] 2" xfId="13" xr:uid="{00000000-0005-0000-0000-000020000000}"/>
    <cellStyle name="쉼표 [0] 2 2" xfId="21" xr:uid="{00000000-0005-0000-0000-000021000000}"/>
    <cellStyle name="쉼표 [0] 2 2 2" xfId="53" xr:uid="{00000000-0005-0000-0000-000022000000}"/>
    <cellStyle name="쉼표 [0] 2 2 3" xfId="76" xr:uid="{00000000-0005-0000-0000-000023000000}"/>
    <cellStyle name="쉼표 [0] 2 2 4" xfId="102" xr:uid="{021D9AD0-C897-4B99-8299-7FB575383E4D}"/>
    <cellStyle name="쉼표 [0] 2 2 5" xfId="4807" xr:uid="{4F166E3D-96B7-4DF2-B698-ACAFEB3DE513}"/>
    <cellStyle name="쉼표 [0] 2 3" xfId="47" xr:uid="{00000000-0005-0000-0000-000024000000}"/>
    <cellStyle name="쉼표 [0] 2 4" xfId="70" xr:uid="{00000000-0005-0000-0000-000025000000}"/>
    <cellStyle name="쉼표 [0] 2 5" xfId="96" xr:uid="{0119BE3A-FA1B-4A71-BCFA-3820BBF56566}"/>
    <cellStyle name="쉼표 [0] 2 6" xfId="4735" xr:uid="{7064CC76-F982-4538-B6C7-D4599149F1C2}"/>
    <cellStyle name="쉼표 [0] 3" xfId="18" xr:uid="{00000000-0005-0000-0000-000026000000}"/>
    <cellStyle name="쉼표 [0] 3 2" xfId="50" xr:uid="{00000000-0005-0000-0000-000027000000}"/>
    <cellStyle name="쉼표 [0] 3 3" xfId="73" xr:uid="{00000000-0005-0000-0000-000028000000}"/>
    <cellStyle name="쉼표 [0] 3 4" xfId="99" xr:uid="{4A75429B-BC56-4C6D-82E2-6C9238C1D994}"/>
    <cellStyle name="쉼표 [0] 4" xfId="6" xr:uid="{00000000-0005-0000-0000-000029000000}"/>
    <cellStyle name="쉼표 [0] 4 2" xfId="44" xr:uid="{00000000-0005-0000-0000-00002A000000}"/>
    <cellStyle name="쉼표 [0] 5" xfId="42" xr:uid="{00000000-0005-0000-0000-00002B000000}"/>
    <cellStyle name="쉼표 [0] 6" xfId="68" xr:uid="{00000000-0005-0000-0000-00002C000000}"/>
    <cellStyle name="쉼표 [0] 7" xfId="93" xr:uid="{E042ED8D-E10C-40D3-B272-B11D38BE9823}"/>
    <cellStyle name="쉼표 [0] 8" xfId="120" xr:uid="{A155760A-7AB9-49A7-901A-B1675EB80BDF}"/>
    <cellStyle name="쉼표 [0] 9" xfId="4730" xr:uid="{2E7715A4-A682-44F3-8250-9F04821757A0}"/>
    <cellStyle name="쉼표 10" xfId="30" xr:uid="{00000000-0005-0000-0000-00002D000000}"/>
    <cellStyle name="쉼표 10 2" xfId="62" xr:uid="{00000000-0005-0000-0000-00002E000000}"/>
    <cellStyle name="쉼표 10 3" xfId="85" xr:uid="{00000000-0005-0000-0000-00002F000000}"/>
    <cellStyle name="쉼표 10 4" xfId="111" xr:uid="{A52D3C32-FC9E-4CE7-ACC1-9EC1CE3D9D45}"/>
    <cellStyle name="쉼표 11" xfId="31" xr:uid="{00000000-0005-0000-0000-000030000000}"/>
    <cellStyle name="쉼표 11 2" xfId="63" xr:uid="{00000000-0005-0000-0000-000031000000}"/>
    <cellStyle name="쉼표 11 3" xfId="86" xr:uid="{00000000-0005-0000-0000-000032000000}"/>
    <cellStyle name="쉼표 11 4" xfId="112" xr:uid="{5703039A-4ACA-4519-894A-1E01B5192615}"/>
    <cellStyle name="쉼표 12" xfId="32" xr:uid="{00000000-0005-0000-0000-000033000000}"/>
    <cellStyle name="쉼표 12 2" xfId="64" xr:uid="{00000000-0005-0000-0000-000034000000}"/>
    <cellStyle name="쉼표 12 3" xfId="87" xr:uid="{00000000-0005-0000-0000-000035000000}"/>
    <cellStyle name="쉼표 12 4" xfId="113" xr:uid="{5F6EB0E9-E911-4A98-88C1-A677610B0746}"/>
    <cellStyle name="쉼표 13" xfId="33" xr:uid="{00000000-0005-0000-0000-000036000000}"/>
    <cellStyle name="쉼표 13 2" xfId="65" xr:uid="{00000000-0005-0000-0000-000037000000}"/>
    <cellStyle name="쉼표 13 3" xfId="88" xr:uid="{00000000-0005-0000-0000-000038000000}"/>
    <cellStyle name="쉼표 13 4" xfId="114" xr:uid="{73A746BE-62BA-4917-A0A4-197F8FDB9A4F}"/>
    <cellStyle name="쉼표 14" xfId="34" xr:uid="{00000000-0005-0000-0000-000039000000}"/>
    <cellStyle name="쉼표 14 2" xfId="66" xr:uid="{00000000-0005-0000-0000-00003A000000}"/>
    <cellStyle name="쉼표 14 3" xfId="89" xr:uid="{00000000-0005-0000-0000-00003B000000}"/>
    <cellStyle name="쉼표 14 4" xfId="115" xr:uid="{7BD99F82-C7BB-49E0-9099-039A6539ECEE}"/>
    <cellStyle name="쉼표 15" xfId="123" xr:uid="{BDD73981-B7F1-4FD5-B158-24B1F652C54A}"/>
    <cellStyle name="쉼표 2" xfId="16" xr:uid="{00000000-0005-0000-0000-00003C000000}"/>
    <cellStyle name="쉼표 2 2" xfId="4732" xr:uid="{8BA7C9A1-77D0-4A3A-BA48-DF0280A8BB17}"/>
    <cellStyle name="쉼표 3" xfId="20" xr:uid="{00000000-0005-0000-0000-00003D000000}"/>
    <cellStyle name="쉼표 3 2" xfId="52" xr:uid="{00000000-0005-0000-0000-00003E000000}"/>
    <cellStyle name="쉼표 3 3" xfId="75" xr:uid="{00000000-0005-0000-0000-00003F000000}"/>
    <cellStyle name="쉼표 3 4" xfId="101" xr:uid="{58765889-FE1C-4E55-9EE6-9E56B0476D69}"/>
    <cellStyle name="쉼표 3 5" xfId="4737" xr:uid="{1F937239-F727-4EC6-9B3D-1C5FF090F03C}"/>
    <cellStyle name="쉼표 4" xfId="24" xr:uid="{00000000-0005-0000-0000-000040000000}"/>
    <cellStyle name="쉼표 4 2" xfId="56" xr:uid="{00000000-0005-0000-0000-000041000000}"/>
    <cellStyle name="쉼표 4 3" xfId="79" xr:uid="{00000000-0005-0000-0000-000042000000}"/>
    <cellStyle name="쉼표 4 4" xfId="105" xr:uid="{8D3AD19B-DBCD-45A5-9D7E-AC040A98A1E3}"/>
    <cellStyle name="쉼표 4 5" xfId="4738" xr:uid="{C8859045-E63E-496A-A88D-8D2051E30F87}"/>
    <cellStyle name="쉼표 5" xfId="25" xr:uid="{00000000-0005-0000-0000-000043000000}"/>
    <cellStyle name="쉼표 5 2" xfId="57" xr:uid="{00000000-0005-0000-0000-000044000000}"/>
    <cellStyle name="쉼표 5 3" xfId="80" xr:uid="{00000000-0005-0000-0000-000045000000}"/>
    <cellStyle name="쉼표 5 4" xfId="106" xr:uid="{0C7AA3AF-1362-4B8B-AA2E-C23FFE003E8F}"/>
    <cellStyle name="쉼표 5 5" xfId="4740" xr:uid="{303E9D39-6EFA-4011-B9E9-94CCDFE1AC0D}"/>
    <cellStyle name="쉼표 6" xfId="26" xr:uid="{00000000-0005-0000-0000-000046000000}"/>
    <cellStyle name="쉼표 6 2" xfId="58" xr:uid="{00000000-0005-0000-0000-000047000000}"/>
    <cellStyle name="쉼표 6 3" xfId="81" xr:uid="{00000000-0005-0000-0000-000048000000}"/>
    <cellStyle name="쉼표 6 4" xfId="107" xr:uid="{11C3F751-99F4-4936-8612-45114D160C65}"/>
    <cellStyle name="쉼표 6 5" xfId="4742" xr:uid="{3EEDC59E-6162-45D3-8288-DDB05000EE20}"/>
    <cellStyle name="쉼표 7" xfId="27" xr:uid="{00000000-0005-0000-0000-000049000000}"/>
    <cellStyle name="쉼표 7 2" xfId="59" xr:uid="{00000000-0005-0000-0000-00004A000000}"/>
    <cellStyle name="쉼표 7 3" xfId="82" xr:uid="{00000000-0005-0000-0000-00004B000000}"/>
    <cellStyle name="쉼표 7 4" xfId="108" xr:uid="{EC2DE881-6A6F-4D1C-8C2B-65CD35A8833F}"/>
    <cellStyle name="쉼표 7 5" xfId="4744" xr:uid="{291EAA3E-0476-481D-AF2F-633DCCD479C4}"/>
    <cellStyle name="쉼표 8" xfId="28" xr:uid="{00000000-0005-0000-0000-00004C000000}"/>
    <cellStyle name="쉼표 8 2" xfId="60" xr:uid="{00000000-0005-0000-0000-00004D000000}"/>
    <cellStyle name="쉼표 8 3" xfId="83" xr:uid="{00000000-0005-0000-0000-00004E000000}"/>
    <cellStyle name="쉼표 8 4" xfId="109" xr:uid="{40C0B483-EA33-49C3-9B47-37C6CB02D7A2}"/>
    <cellStyle name="쉼표 9" xfId="29" xr:uid="{00000000-0005-0000-0000-00004F000000}"/>
    <cellStyle name="쉼표 9 2" xfId="61" xr:uid="{00000000-0005-0000-0000-000050000000}"/>
    <cellStyle name="쉼표 9 3" xfId="84" xr:uid="{00000000-0005-0000-0000-000051000000}"/>
    <cellStyle name="쉼표 9 4" xfId="110" xr:uid="{C4D9902B-59A3-44AB-814E-E6F0E7D75ACB}"/>
    <cellStyle name="悪い" xfId="3984" xr:uid="{20B68C9D-CFE1-4877-B97C-C0463E65A959}"/>
    <cellStyle name="样式 1" xfId="3518" xr:uid="{19281616-C983-4B55-A220-93E4E51345C1}"/>
    <cellStyle name="样式 10" xfId="3519" xr:uid="{716F51D0-B67E-4117-B2C3-6AF3BDC2BCF4}"/>
    <cellStyle name="样式 11" xfId="3520" xr:uid="{25C50C32-7AC5-42F3-814B-C8C46065D6B4}"/>
    <cellStyle name="样式 12" xfId="3521" xr:uid="{4C3CC555-3346-45B9-B404-6AC45B8A1521}"/>
    <cellStyle name="样式 13" xfId="3522" xr:uid="{0BDCA368-47F9-47B4-AB0A-EBD9DB424D30}"/>
    <cellStyle name="样式 14" xfId="3523" xr:uid="{1FE64B18-EEA5-4063-8ADD-F319B62642C7}"/>
    <cellStyle name="样式 15" xfId="3524" xr:uid="{15D05879-C2C4-4F65-9001-C077233BE93F}"/>
    <cellStyle name="样式 16" xfId="3525" xr:uid="{B033A82F-2C42-44E8-8B18-BAB081DE01AE}"/>
    <cellStyle name="样式 17" xfId="3526" xr:uid="{DADCC406-8FAB-40AD-968D-6C0817A6F257}"/>
    <cellStyle name="样式 18" xfId="3527" xr:uid="{4953E792-2696-4428-93E4-6EC3C27072E9}"/>
    <cellStyle name="样式 19" xfId="3528" xr:uid="{15CFB40F-0559-4434-8E02-7844649E4C5D}"/>
    <cellStyle name="样式 2" xfId="3529" xr:uid="{1C8274D0-C4BB-412A-A11F-AC60DFA3A898}"/>
    <cellStyle name="样式 20" xfId="3530" xr:uid="{38270606-5425-4A8B-A475-A4ACC11CEC47}"/>
    <cellStyle name="样式 21" xfId="3531" xr:uid="{C4CE5885-6A3F-4AD6-9FC0-A2B2F3269478}"/>
    <cellStyle name="样式 21 2" xfId="4125" xr:uid="{F0DE1A84-6E53-40FE-8559-DA360D31988E}"/>
    <cellStyle name="样式 21 3" xfId="4142" xr:uid="{772A554E-CA2A-48B2-8120-5A0E81305EC4}"/>
    <cellStyle name="样式 22" xfId="3532" xr:uid="{34680732-02A7-46B9-BEBE-D345413D4CF5}"/>
    <cellStyle name="样式 22 2" xfId="4124" xr:uid="{5970888A-5FB5-41E3-8D1D-9AD3DA2300FE}"/>
    <cellStyle name="样式 22 3" xfId="4141" xr:uid="{C76DFE2A-719B-4091-8E6C-4228B92F0897}"/>
    <cellStyle name="样式 23" xfId="3533" xr:uid="{94F9EFA9-84FB-48AD-AE67-0BF00CC95646}"/>
    <cellStyle name="样式 23 2" xfId="4123" xr:uid="{DF9A63DE-191B-4BF6-B648-D33F856BB329}"/>
    <cellStyle name="样式 23 3" xfId="4140" xr:uid="{9A59D98D-7A2C-40B6-9CC4-25EE0C96D300}"/>
    <cellStyle name="样式 3" xfId="3534" xr:uid="{975023DE-8C53-4709-974F-A639C68B9D7E}"/>
    <cellStyle name="样式 4" xfId="3535" xr:uid="{9CA9579E-2802-4D15-94BE-271283814E42}"/>
    <cellStyle name="样式 5" xfId="3536" xr:uid="{20ACE11B-0934-4FC2-B492-CC0EC13DC90E}"/>
    <cellStyle name="样式 6" xfId="3537" xr:uid="{FF886F6F-88A3-41A4-A9F0-9E2D95A0F039}"/>
    <cellStyle name="样式 7" xfId="3538" xr:uid="{7BEBD1CC-C279-4279-9474-4350823F3AA3}"/>
    <cellStyle name="样式 8" xfId="3539" xr:uid="{F569FA29-8138-4B52-BC74-A0E0AF919769}"/>
    <cellStyle name="样式 8 2" xfId="4121" xr:uid="{19A57DDC-97E4-4680-84A6-E237E297BC7B}"/>
    <cellStyle name="样式 8 3" xfId="4138" xr:uid="{91257734-3571-4B60-A4EA-6A037186D69D}"/>
    <cellStyle name="样式 9" xfId="3540" xr:uid="{3BFC92C2-95BC-4B7A-A632-D462B49DB1BE}"/>
    <cellStyle name="样式 9 2" xfId="4120" xr:uid="{B363FC5F-7439-4436-BD19-50CABD7B86D8}"/>
    <cellStyle name="样式 9 3" xfId="4137" xr:uid="{33737E71-A6B0-4C13-8145-5592944E6FAC}"/>
    <cellStyle name="億啟[0]_pldt" xfId="3545" xr:uid="{2FE328C4-CC41-4A9E-8624-DD507533D996}"/>
    <cellStyle name="億啟_pldt" xfId="3546" xr:uid="{76F9DCEC-97CD-4537-9767-D9CF9BD7F510}"/>
    <cellStyle name="霓付 [0]_97MBO" xfId="3480" xr:uid="{BF63173F-8DE2-48C2-B0F4-AF509BDF70FF}"/>
    <cellStyle name="霓付_97MBO" xfId="3481" xr:uid="{3D9EE5A5-216F-438F-91D1-A21337A6680F}"/>
    <cellStyle name="一般 2" xfId="3541" xr:uid="{1CEC7A70-BAAE-435D-9241-E63771F63F3E}"/>
    <cellStyle name="一般 2 2" xfId="4032" xr:uid="{1CE96C2B-7F73-496E-B493-713DACB95EC7}"/>
    <cellStyle name="一般 3" xfId="3542" xr:uid="{6E32D235-0F4B-46EC-8495-B430AE838F3D}"/>
    <cellStyle name="一般 4" xfId="3543" xr:uid="{F21006BE-F006-44FD-B181-4F94D2D082AD}"/>
    <cellStyle name="一般_(14)铸造二厂" xfId="3544" xr:uid="{8217D192-4337-4D17-81E3-E72D0F3C4953}"/>
    <cellStyle name="入力" xfId="4028" xr:uid="{CE7681E1-6F97-4A08-82B9-8D0D89CA62E3}"/>
    <cellStyle name="入力 2" xfId="4433" xr:uid="{C1352354-7E92-48AA-B749-2945AA9891BC}"/>
    <cellStyle name="入力 3" xfId="4122" xr:uid="{C9AD73B6-3E51-4591-9AFE-5C538ACFD58C}"/>
    <cellStyle name="在庫" xfId="4033" xr:uid="{CE1FBAA2-F275-4E1B-B307-6C77E5D8616A}"/>
    <cellStyle name="传统_5.31评估计算" xfId="3451" xr:uid="{E1C9FFFF-F1BB-4B0A-A038-7F9FA11B1BA7}"/>
    <cellStyle name="注释 2" xfId="4483" xr:uid="{DE838DD8-6C23-4090-A2DF-F9255FAB98C8}"/>
    <cellStyle name="中等" xfId="3547" xr:uid="{8F299931-D1B3-4616-B7AD-ACB33A92D72A}"/>
    <cellStyle name="集計" xfId="3990" xr:uid="{FEBD0C9C-E695-43D6-BD45-990F4B498636}"/>
    <cellStyle name="集計 2" xfId="4431" xr:uid="{5FDD4E47-5C3A-4ECD-8C82-2F5A4FD78E01}"/>
    <cellStyle name="集計 3" xfId="4129" xr:uid="{0D6FFE56-36B6-4F3B-8409-EEB307F61395}"/>
    <cellStyle name="差 2" xfId="4468" xr:uid="{3FBA54B1-E412-4C1C-B943-534941A27F28}"/>
    <cellStyle name="差_Book1" xfId="3418" xr:uid="{267D89D3-290D-4670-BE3C-B4112435538D}"/>
    <cellStyle name="差_Hard Asset Profile" xfId="3419" xr:uid="{F1721111-F917-482F-812C-A08D19FD554D}"/>
    <cellStyle name="差_Monthly  Financial__ Reporting-Xinhoo-may 09" xfId="3420" xr:uid="{A0E06A04-60B0-445E-ADF9-B3A2EB51CCF7}"/>
    <cellStyle name="差_Monthly Financial Reporting - Xinhoo(2009.10)" xfId="3421" xr:uid="{6CE905AA-1DF2-4117-B2D4-9DB23825F202}"/>
    <cellStyle name="差_Monthly Financial Reporting-Xinhoo-2009.11" xfId="3422" xr:uid="{60BB6F7E-3030-468A-BF3B-915D06698B06}"/>
    <cellStyle name="差_NOI analysis(JD&amp;NC&amp;LFIC）" xfId="3423" xr:uid="{FC6E7AC4-C124-44C4-921D-10D9F8C59A6B}"/>
    <cellStyle name="差_P&amp;L" xfId="3424" xr:uid="{CAF8948D-8AA1-4F91-B09A-94C66E092DCB}"/>
    <cellStyle name="差_PL&amp;CS form" xfId="3425" xr:uid="{3B285B03-0B4B-4A41-8E72-B77C49DC6D2F}"/>
    <cellStyle name="差_RCS" xfId="3426" xr:uid="{CB3EF3F3-EB23-4D4F-8849-ABDFFF483D62}"/>
    <cellStyle name="差_RESULTS" xfId="4469" xr:uid="{B7D034AF-E6D5-4A17-8BDA-E1A5E322CB93}"/>
    <cellStyle name="差_北京" xfId="3427" xr:uid="{F732B212-3A9F-4B89-B223-BC7AC2F8D79B}"/>
    <cellStyle name="差_北京(CS)" xfId="3428" xr:uid="{131D2A80-69C5-440D-A522-99BF976E9AC9}"/>
    <cellStyle name="钎霖_laroux" xfId="3513" xr:uid="{515C0FDE-9238-4665-9D9F-35850A0C8570}"/>
    <cellStyle name="千分位 2" xfId="3485" xr:uid="{D9A16609-3D49-4FBB-B694-95B01156C324}"/>
    <cellStyle name="千分位 2 2" xfId="3999" xr:uid="{4C6BB506-17A8-4049-A55E-4A1D57DAB189}"/>
    <cellStyle name="千分位 2 3" xfId="4700" xr:uid="{DF7D99EF-8655-4541-B198-CD17A1880E54}"/>
    <cellStyle name="千分位 2 3 2" xfId="4778" xr:uid="{C338A32E-0A8A-4498-90C0-B827E791E68D}"/>
    <cellStyle name="千分位 3" xfId="3486" xr:uid="{65246144-F638-4FB1-81E9-64DEE672610D}"/>
    <cellStyle name="千分位[0] 2" xfId="4000" xr:uid="{39BA8844-8011-42D7-AEBC-2BBC09DB3D68}"/>
    <cellStyle name="千分位[0]_ 白土" xfId="3487" xr:uid="{90C67C9C-0036-4AD3-A612-1CE2079CD474}"/>
    <cellStyle name="千分位_ 白土" xfId="3488" xr:uid="{8139B7AE-5A12-4483-9834-32CFEBF60883}"/>
    <cellStyle name="千位[0]_laroux" xfId="3489" xr:uid="{B23B0B06-84C7-4499-B2E1-9482AA2D9FDB}"/>
    <cellStyle name="千位_laroux" xfId="3490" xr:uid="{1B65ED23-6BB9-411A-A22E-4E8ABA489CEB}"/>
    <cellStyle name="千位分隔 10" xfId="3584" xr:uid="{E4C34D1A-5E32-448C-B3D8-6A5F8B028E21}"/>
    <cellStyle name="千位分隔 10 2" xfId="4001" xr:uid="{72FFC739-2B41-4F02-BF5F-299F61F5F161}"/>
    <cellStyle name="千位分隔 10 3" xfId="4330" xr:uid="{02034332-49DE-435E-AC60-F10EDC87A6AC}"/>
    <cellStyle name="千位分隔 10 3 2" xfId="4464" xr:uid="{4C3B7BE5-A2CA-4A6F-A275-FE419DE4E336}"/>
    <cellStyle name="千位分隔 11" xfId="4002" xr:uid="{402193E1-70D6-4E14-AFC7-3D6624F88F25}"/>
    <cellStyle name="千位分隔 11 2" xfId="4003" xr:uid="{8B4289A2-69AF-4BB7-B021-356411ED38BD}"/>
    <cellStyle name="千位分隔 11 2 2" xfId="4416" xr:uid="{21315F32-37E0-44DA-8990-1BC29B6E2A65}"/>
    <cellStyle name="千位分隔 11 2 2 2" xfId="4661" xr:uid="{ADD8E660-51A2-426C-992C-4174B0579682}"/>
    <cellStyle name="千位分隔 11 2 2 2 2" xfId="4724" xr:uid="{14100863-AF90-407B-BAB2-B6A075F1CA27}"/>
    <cellStyle name="千位分隔 11 2 2 2 2 2" xfId="4802" xr:uid="{4DE3F5CE-FA95-4ACE-A9AB-A1B01E82710F}"/>
    <cellStyle name="千位分隔 11 2 2 2 3" xfId="4759" xr:uid="{5C633FD9-02C5-4676-A609-341B4721BAD7}"/>
    <cellStyle name="千位分隔 11 2 2 3" xfId="4719" xr:uid="{84128577-6ECD-4735-A39F-30E4F56B0D4D}"/>
    <cellStyle name="千位分隔 11 2 2 3 2" xfId="4797" xr:uid="{241512AF-FB8D-4C1B-9A65-4B4FE4E20D00}"/>
    <cellStyle name="千位分隔 11 2 2 4" xfId="4755" xr:uid="{12E9B0BF-D357-4B36-B267-0764F89C3263}"/>
    <cellStyle name="千位分隔 11 2 3" xfId="4660" xr:uid="{A44CF713-FBE5-405D-BAEC-8D13824936DB}"/>
    <cellStyle name="千位分隔 11 2 3 2" xfId="4723" xr:uid="{D8E8AF67-FD02-4118-851D-C3A4ECF9B1D1}"/>
    <cellStyle name="千位分隔 11 2 3 2 2" xfId="4801" xr:uid="{34745717-90A7-4CAE-955B-C468AEB779F4}"/>
    <cellStyle name="千位分隔 11 2 3 3" xfId="4758" xr:uid="{163B7284-1531-434E-8050-9CB135640321}"/>
    <cellStyle name="千位分隔 11 2 4" xfId="4708" xr:uid="{946DA0E3-999D-4F30-A7A3-DFDD894DC53F}"/>
    <cellStyle name="千位分隔 11 2 4 2" xfId="4786" xr:uid="{C13471EE-BD0D-4A6B-BC5E-E1FE0C0D290D}"/>
    <cellStyle name="千位分隔 11 2 5" xfId="4751" xr:uid="{9078E386-FF64-46BE-803C-A5C8C3C4FEA5}"/>
    <cellStyle name="千位分隔 11 3" xfId="4004" xr:uid="{96DB9B0F-DA8C-4519-A200-52102E54212E}"/>
    <cellStyle name="千位分隔 11 3 2" xfId="4417" xr:uid="{4799333C-6E00-4DAC-93CF-55106E0B0D90}"/>
    <cellStyle name="千位分隔 11 3 2 2" xfId="4663" xr:uid="{23640C94-536C-41AE-8A83-6FD62DB3AB23}"/>
    <cellStyle name="千位分隔 11 3 2 2 2" xfId="4726" xr:uid="{B0D5ED66-AB7B-425B-B9E4-76DD0F1860F8}"/>
    <cellStyle name="千位分隔 11 3 2 2 2 2" xfId="4804" xr:uid="{9B82FE53-C667-4892-B4E9-DCEA149A5D69}"/>
    <cellStyle name="千位分隔 11 3 2 2 3" xfId="4761" xr:uid="{D9D30A58-1C95-4FB9-A099-C8BDB2C23904}"/>
    <cellStyle name="千位分隔 11 3 2 3" xfId="4720" xr:uid="{568D5EF5-3A95-4F64-A4C3-64FC330F425D}"/>
    <cellStyle name="千位分隔 11 3 2 3 2" xfId="4798" xr:uid="{F45C1BDD-8786-45C4-904B-D0DCE2908394}"/>
    <cellStyle name="千位分隔 11 3 2 4" xfId="4756" xr:uid="{30113377-BE3A-4066-B261-E88926B3EB58}"/>
    <cellStyle name="千位分隔 11 3 3" xfId="4662" xr:uid="{B2200DFB-CB3E-4B63-B250-B53436008260}"/>
    <cellStyle name="千位分隔 11 3 3 2" xfId="4725" xr:uid="{21E892C9-E1F7-45E9-A5DC-07A46646B06D}"/>
    <cellStyle name="千位分隔 11 3 3 2 2" xfId="4803" xr:uid="{52370FC5-3711-4C80-94E2-71E57C5F47D9}"/>
    <cellStyle name="千位分隔 11 3 3 3" xfId="4760" xr:uid="{206D30C1-9544-4CD4-9C55-01C59546974B}"/>
    <cellStyle name="千位分隔 11 3 4" xfId="4709" xr:uid="{5DC1E752-30DC-4363-B5A1-76C7C78A5C05}"/>
    <cellStyle name="千位分隔 11 3 4 2" xfId="4787" xr:uid="{A0178B17-49D5-4B71-B735-D352E6D6F373}"/>
    <cellStyle name="千位分隔 11 3 5" xfId="4752" xr:uid="{41358FC2-FB02-460A-99B7-B902846FE9E5}"/>
    <cellStyle name="千位分隔 11 4" xfId="4415" xr:uid="{AEA81569-FBAA-45F6-BC3E-6DD971AC5DE2}"/>
    <cellStyle name="千位分隔 11 4 2" xfId="4664" xr:uid="{793F4833-D1F5-49EC-AF29-66CEA93CEEE9}"/>
    <cellStyle name="千位分隔 11 4 2 2" xfId="4727" xr:uid="{BB9742C1-ECA9-4E4D-B12E-499D3DCCE081}"/>
    <cellStyle name="千位分隔 11 4 2 2 2" xfId="4805" xr:uid="{0BD2A7A9-198D-422B-AF6C-CFF732FD8AFF}"/>
    <cellStyle name="千位分隔 11 4 2 3" xfId="4762" xr:uid="{C1683466-222E-44FE-A3FA-640EF3ECEC85}"/>
    <cellStyle name="千位分隔 11 4 3" xfId="4718" xr:uid="{F0BDFEBD-5655-4183-9744-781DFD8E5341}"/>
    <cellStyle name="千位分隔 11 4 3 2" xfId="4796" xr:uid="{A14721D2-1E63-438E-827D-EC858E645403}"/>
    <cellStyle name="千位分隔 11 4 4" xfId="4754" xr:uid="{40BD97FF-7AE9-45AC-AD0E-94484CDEF34B}"/>
    <cellStyle name="千位分隔 11 5" xfId="4659" xr:uid="{A4C5C073-DAB1-4EFA-9747-E2460D5E9690}"/>
    <cellStyle name="千位分隔 11 5 2" xfId="4722" xr:uid="{50A6DCA5-CBD6-436D-8B36-8CD865E5C1CB}"/>
    <cellStyle name="千位分隔 11 5 2 2" xfId="4800" xr:uid="{9EE22385-CBCC-4FF1-9C71-C1C04B6183C1}"/>
    <cellStyle name="千位分隔 11 5 3" xfId="4757" xr:uid="{341A1EDB-544C-4308-88EF-EEB09AA14DCD}"/>
    <cellStyle name="千位分隔 11 6" xfId="4707" xr:uid="{77B7A202-3693-4399-AE2A-B21B5CBD6A92}"/>
    <cellStyle name="千位分隔 11 6 2" xfId="4785" xr:uid="{440080C8-1DE2-4DDF-A99C-AEDB262DED1D}"/>
    <cellStyle name="千位分隔 11 7" xfId="4750" xr:uid="{0C6CFA99-BE17-485B-BE1F-2DC2820D55A2}"/>
    <cellStyle name="千位分隔 12" xfId="4005" xr:uid="{0F0B3FC3-612B-4C94-8F0A-4E8A2C0DC11E}"/>
    <cellStyle name="千位分隔 12 2" xfId="4006" xr:uid="{171125BA-97A6-4251-A298-6DAFE52E5414}"/>
    <cellStyle name="千位分隔 12 2 2" xfId="4419" xr:uid="{5393984B-5DF1-4022-9D75-675A5C128031}"/>
    <cellStyle name="千位分隔 12 2 2 2" xfId="4667" xr:uid="{8AD06143-B5AA-42B3-9CFA-08CB801D2A3C}"/>
    <cellStyle name="千位分隔 12 2 3" xfId="4666" xr:uid="{DCB4CB32-2712-4682-B03B-3574895C622E}"/>
    <cellStyle name="千位分隔 12 3" xfId="4418" xr:uid="{C6137CC9-6BD6-4EDA-A8E1-EEA9D3C40E1E}"/>
    <cellStyle name="千位分隔 12 3 2" xfId="4668" xr:uid="{ABE199FF-0D11-498D-BDF2-13876EB6C335}"/>
    <cellStyle name="千位分隔 12 4" xfId="4665" xr:uid="{331A73E1-C569-43ED-9F9B-CDDD6EB2AF25}"/>
    <cellStyle name="千位分隔 13" xfId="4007" xr:uid="{1A7D1497-07B1-4C5F-89C0-CC8A5E53E63F}"/>
    <cellStyle name="千位分隔 13 2" xfId="4008" xr:uid="{265179BB-5EA8-48D5-85E3-F6BF074E2B4D}"/>
    <cellStyle name="千位分隔 13 2 2" xfId="4421" xr:uid="{5FDF5B03-0974-40E2-A423-217DB3B48216}"/>
    <cellStyle name="千位分隔 13 2 2 2" xfId="4671" xr:uid="{4FDCC6B6-8AC7-4F65-9E1B-7F885DA6F925}"/>
    <cellStyle name="千位分隔 13 2 3" xfId="4670" xr:uid="{369A7154-F7E1-4C5D-A0E8-ADCDC8ACE20C}"/>
    <cellStyle name="千位分隔 13 3" xfId="4420" xr:uid="{24EBA4B4-3AF6-4EFE-BEEA-792998870817}"/>
    <cellStyle name="千位分隔 13 3 2" xfId="4672" xr:uid="{24A0DC81-D116-4937-8768-9B4700AA3F99}"/>
    <cellStyle name="千位分隔 13 4" xfId="4669" xr:uid="{45A9D634-56DF-44E4-A126-F65AE9759963}"/>
    <cellStyle name="千位分隔 14" xfId="4009" xr:uid="{B57127EC-4DA8-442B-8425-214618FF22AD}"/>
    <cellStyle name="千位分隔 14 2" xfId="4010" xr:uid="{52B73B9D-8CB0-457C-A961-7AA4E09FA307}"/>
    <cellStyle name="千位分隔 14 2 2" xfId="4423" xr:uid="{3FF1BC9B-8C9C-44B2-B7A1-FCAD5A387AAB}"/>
    <cellStyle name="千位分隔 14 2 2 2" xfId="4675" xr:uid="{1EF6774A-3D39-40CD-A416-D703815DD465}"/>
    <cellStyle name="千位分隔 14 2 3" xfId="4674" xr:uid="{791D2A1A-CD3B-4949-B50B-CA4700ABA36D}"/>
    <cellStyle name="千位分隔 14 3" xfId="4422" xr:uid="{D2E621F5-14EF-448C-B7C9-A977ACA79454}"/>
    <cellStyle name="千位分隔 14 3 2" xfId="4676" xr:uid="{D7FC56AF-8CD8-460E-BE6E-AE8498B38AE1}"/>
    <cellStyle name="千位分隔 14 4" xfId="4673" xr:uid="{6A49A204-695C-4B8F-A286-8E0BBA86EFD6}"/>
    <cellStyle name="千位分隔 15" xfId="4011" xr:uid="{31E0B927-EF64-4D8B-8398-E090A1AF8E77}"/>
    <cellStyle name="千位分隔 15 2" xfId="4012" xr:uid="{EB9A4476-BEB8-4950-859A-92528B3BC9B9}"/>
    <cellStyle name="千位分隔 15 2 2" xfId="4425" xr:uid="{B51BBA53-4728-4888-A3FF-3C0876FEB78D}"/>
    <cellStyle name="千位分隔 15 2 2 2" xfId="4679" xr:uid="{31926711-2AB3-4E36-B4C6-7E84E2C68413}"/>
    <cellStyle name="千位分隔 15 2 3" xfId="4678" xr:uid="{2F87EDD5-C50A-4166-A21E-1AC6E0DC1731}"/>
    <cellStyle name="千位分隔 15 3" xfId="4424" xr:uid="{80A175A9-D454-438B-9C6E-90D702815B76}"/>
    <cellStyle name="千位分隔 15 3 2" xfId="4680" xr:uid="{F071C1EE-1645-4CB5-B1C7-01D45A49AD1D}"/>
    <cellStyle name="千位分隔 15 4" xfId="4677" xr:uid="{61A8D654-24F5-462E-BD1F-92A7A0D84924}"/>
    <cellStyle name="千位分隔 16" xfId="4055" xr:uid="{9EECF908-9F24-41DC-BCED-7DDD8BD44700}"/>
    <cellStyle name="千位分隔 16 2" xfId="4428" xr:uid="{9E83EE77-AAC9-47D9-961C-D10EFD4D6190}"/>
    <cellStyle name="千位分隔 16 2 2" xfId="4721" xr:uid="{FF6FF06F-14CF-413D-8EBC-2B396C2A00A8}"/>
    <cellStyle name="千位分隔 16 2 2 2" xfId="4799" xr:uid="{4B834C73-1014-4334-AAC8-CB727126A389}"/>
    <cellStyle name="千位分隔 16 3" xfId="4712" xr:uid="{BCF47BFA-EBF9-4080-8FA3-91CEE455FE63}"/>
    <cellStyle name="千位分隔 16 3 2" xfId="4790" xr:uid="{85973495-5345-4F2D-8D15-D81324BA9BC1}"/>
    <cellStyle name="千位分隔 17" xfId="4059" xr:uid="{1751170F-F865-43E3-B79B-0644E12BEAEF}"/>
    <cellStyle name="千位分隔 17 2" xfId="4681" xr:uid="{C06B2FCB-5776-41CA-9D14-3DC4158CF78A}"/>
    <cellStyle name="千位分隔 18" xfId="4438" xr:uid="{35ABED1D-15CC-4592-85E5-4AB9AE2136EF}"/>
    <cellStyle name="千位分隔 19" xfId="4441" xr:uid="{4F031008-84A2-418D-B12F-AD9343C908C1}"/>
    <cellStyle name="千位分隔 2" xfId="3492" xr:uid="{85807A91-E720-410D-BE1F-A16643C7A896}"/>
    <cellStyle name="千位分隔 2 2" xfId="3493" xr:uid="{505BBBD6-8D8D-4D72-86F7-8A2C51890562}"/>
    <cellStyle name="千位分隔 2 2 2" xfId="3494" xr:uid="{CAD1DB1F-CEDC-47AA-8BB5-C0093180212E}"/>
    <cellStyle name="千位分隔 2 2 2 2" xfId="4013" xr:uid="{11F4463F-DAD6-4EC5-9BD3-A73A05B1FD90}"/>
    <cellStyle name="千位分隔 2 2 3" xfId="4465" xr:uid="{C9DA4226-D67E-46F0-B3C2-F8D8192FE52F}"/>
    <cellStyle name="千位分隔 2 3" xfId="3495" xr:uid="{530E9DF3-E949-48C6-A026-A91FF304F221}"/>
    <cellStyle name="千位分隔 2 3 2" xfId="4014" xr:uid="{4A48E17A-D0BE-4BCA-B263-F2D700FE184D}"/>
    <cellStyle name="千位分隔 2 4" xfId="4015" xr:uid="{D20C7125-869D-44D8-961A-4E4D6C2A401E}"/>
    <cellStyle name="千位分隔 2 5" xfId="4016" xr:uid="{7D4184CA-A014-4E15-B9DA-B83E1208FD8F}"/>
    <cellStyle name="千位分隔 2 6" xfId="3574" xr:uid="{7D8B0F7F-3272-4767-B84E-C104A95E2A7E}"/>
    <cellStyle name="千位分隔 2 6 2" xfId="4702" xr:uid="{826CB1E0-65E1-4DDB-BC0C-FAE948E8A14F}"/>
    <cellStyle name="千位分隔 2 6 2 2" xfId="4780" xr:uid="{083FE98D-AEC3-4272-9AE0-730CBBC83C23}"/>
    <cellStyle name="千位分隔 2 6 3" xfId="4748" xr:uid="{1C8B1B22-1360-46EC-A8B6-460B4ECF8B66}"/>
    <cellStyle name="千位分隔 2_2010年及2011年行政人事部预算表(王华更新)" xfId="3496" xr:uid="{0F4EE9E6-A223-43A8-9C22-E21E778173C7}"/>
    <cellStyle name="千位分隔 20" xfId="3491" xr:uid="{C7D89313-561D-47E9-B444-D22ADC84F185}"/>
    <cellStyle name="千位分隔 3" xfId="3497" xr:uid="{C003A03B-AB39-4A98-969E-08D0E8DA977B}"/>
    <cellStyle name="千位分隔 3 2" xfId="3498" xr:uid="{28BEA349-4739-407D-B36A-9628922A12ED}"/>
    <cellStyle name="千位分隔 3 2 2" xfId="3499" xr:uid="{2EED1C29-7A79-4645-AD20-9963D0BA304A}"/>
    <cellStyle name="千位分隔 3 2 2 2" xfId="4017" xr:uid="{1708309E-CA05-487A-BD00-5573DC82AD8D}"/>
    <cellStyle name="千位分隔 3 3" xfId="3500" xr:uid="{0186D44F-3ED6-474A-9056-560594CBE580}"/>
    <cellStyle name="千位分隔 3 3 2" xfId="4018" xr:uid="{C55AAD5C-F133-4360-BD54-C1176FCEF35D}"/>
    <cellStyle name="千位分隔 3_2011年广告费收入现金流预测" xfId="3501" xr:uid="{F6650546-10B2-4D82-A880-97A629B2F94F}"/>
    <cellStyle name="千位分隔 4" xfId="3502" xr:uid="{099BCE28-B9AF-47F6-A6CF-971C6228399F}"/>
    <cellStyle name="千位分隔 4 2" xfId="4019" xr:uid="{1581C797-E13B-499A-B22F-EF5B9A692B3C}"/>
    <cellStyle name="千位分隔 4 2 2" xfId="4020" xr:uid="{FD44964E-5E0C-4EE1-B5BB-DD1F8905A9CA}"/>
    <cellStyle name="千位分隔 4 3" xfId="3576" xr:uid="{1AB39707-F4E9-4FB0-B622-F08223A60116}"/>
    <cellStyle name="千位分隔 4 3 2" xfId="4703" xr:uid="{51D7A268-D65E-4E08-871E-8FC52E1B082D}"/>
    <cellStyle name="千位分隔 4 3 2 2" xfId="4781" xr:uid="{1AB6EA00-CD8C-4CD0-83FF-025C294D682F}"/>
    <cellStyle name="千位分隔 4 3 3" xfId="4749" xr:uid="{4431B9D5-3500-40A2-B44C-E02480A29C53}"/>
    <cellStyle name="千位分隔 5" xfId="3503" xr:uid="{0A7D3A02-D947-4DDD-83DE-116951EF73A3}"/>
    <cellStyle name="千位分隔 5 2" xfId="4021" xr:uid="{314D4CCC-0926-47BB-AD16-83BC53D6F6FD}"/>
    <cellStyle name="千位分隔 5 2 2" xfId="4710" xr:uid="{F2B8010B-B19D-4836-B800-688538F267F6}"/>
    <cellStyle name="千位分隔 5 2 2 2" xfId="4788" xr:uid="{4F10E1A8-F92F-41C2-BCA8-CBB964F5C366}"/>
    <cellStyle name="千位分隔 5 2 3" xfId="4753" xr:uid="{58CA92B7-A863-4AC8-8E2F-F3300C76861A}"/>
    <cellStyle name="千位分隔 5 3" xfId="3577" xr:uid="{8C9167D5-B36F-432A-B9CF-8C583187E493}"/>
    <cellStyle name="千位分隔 5 4" xfId="4039" xr:uid="{946444B6-860C-4775-8164-2E901DCA84A8}"/>
    <cellStyle name="千位分隔 5 4 2" xfId="4711" xr:uid="{3884B51C-992B-4528-ACC8-5AD655950E4B}"/>
    <cellStyle name="千位分隔 5 4 2 2" xfId="4789" xr:uid="{B8422665-F420-47F2-BBBC-7DE26A041BB2}"/>
    <cellStyle name="千位分隔 5 5" xfId="4701" xr:uid="{ED80304F-75BC-4294-A18E-D817E8D89E39}"/>
    <cellStyle name="千位分隔 5 5 2" xfId="4779" xr:uid="{8E35E80A-1319-456A-99C0-04AA3C98F7A6}"/>
    <cellStyle name="千位分隔 5 6" xfId="4747" xr:uid="{D948498E-F33E-4C32-BC66-1ECC425AECFB}"/>
    <cellStyle name="千位分隔 6" xfId="3504" xr:uid="{D89D3238-D642-47AB-A9B0-5DCE7819ED4F}"/>
    <cellStyle name="千位分隔 6 2" xfId="4022" xr:uid="{26D0F32A-A445-4538-9ACB-F1708C98CA76}"/>
    <cellStyle name="千位分隔 6 3" xfId="3578" xr:uid="{23412434-63F0-4297-A49A-FAD6E3EBEF72}"/>
    <cellStyle name="千位分隔 7" xfId="3505" xr:uid="{B1873967-6FB2-4BF9-AA4B-6253CBE5AF08}"/>
    <cellStyle name="千位分隔 7 2" xfId="3579" xr:uid="{638CC04D-C171-410C-A545-D825BAB65077}"/>
    <cellStyle name="千位分隔 8" xfId="3506" xr:uid="{8B1F202F-CA7C-4AEE-8601-5A0F2A75B288}"/>
    <cellStyle name="千位分隔 8 2" xfId="3507" xr:uid="{B370D478-69D3-4E5D-8571-AEBE7CAF5AF5}"/>
    <cellStyle name="千位分隔 8 2 2" xfId="4023" xr:uid="{ECF6A992-C400-4AF8-BD17-56085D9C0E05}"/>
    <cellStyle name="千位分隔 8 3" xfId="3580" xr:uid="{A00C5346-E24F-4CA8-A346-4C10EB06861D}"/>
    <cellStyle name="千位分隔 9" xfId="3508" xr:uid="{B86F8844-3577-4F76-8148-496D873E8BFA}"/>
    <cellStyle name="千位分隔 9 2" xfId="4024" xr:uid="{2570AA9C-0DEE-4B2B-9B53-35B223C84871}"/>
    <cellStyle name="千位分隔 9 2 2" xfId="4025" xr:uid="{5DDA7529-DA2B-4337-938E-6B2900C6A4A6}"/>
    <cellStyle name="千位分隔 9 3" xfId="3581" xr:uid="{966A163A-D0F1-4A0C-8B6B-964E1411F999}"/>
    <cellStyle name="千位分隔 9 3 2" xfId="4328" xr:uid="{CBCC795C-0984-4D3B-A744-ECD7BDCA6581}"/>
    <cellStyle name="千位分隔 9 3 2 2" xfId="4683" xr:uid="{16979E20-94D9-4740-8FBE-C4FA752B609F}"/>
    <cellStyle name="千位分隔 9 3 3" xfId="4682" xr:uid="{86E7B6B1-EE9B-4309-9CE2-71F6491C9F82}"/>
    <cellStyle name="千位分隔[0] 2" xfId="3509" xr:uid="{6C932EAD-08A6-4C5A-A1FE-46E418409E60}"/>
    <cellStyle name="千位分隔[0] 2 2" xfId="4026" xr:uid="{2E9AFD34-9FCB-43F4-A09B-529FF820C579}"/>
    <cellStyle name="千位分隔[0] 2 3" xfId="3582" xr:uid="{93425E0C-EF20-4346-8A4B-6D12536E7F37}"/>
    <cellStyle name="千位分隔[0] 3" xfId="3510" xr:uid="{0B20DEEB-F569-40E2-9C98-AB7E5D6D00A1}"/>
    <cellStyle name="千位分隔[0] 3 2" xfId="3511" xr:uid="{DB7E589B-F957-4112-8029-524857FA4F3C}"/>
    <cellStyle name="千位分隔[0] 3 3" xfId="4027" xr:uid="{F53B1831-5B85-4218-A5C7-42E250CD7B49}"/>
    <cellStyle name="千位分隔[0] 3 3 2" xfId="4426" xr:uid="{953615DB-75CE-4BBB-B872-8F99A135A6B8}"/>
    <cellStyle name="千位分隔[0] 3 3 2 2" xfId="4685" xr:uid="{29F252CA-C1A9-47F3-87FA-82B33655E164}"/>
    <cellStyle name="千位分隔[0] 3 3 3" xfId="4684" xr:uid="{9A8314EB-DE53-4CBD-9811-B323C0FFFC7E}"/>
    <cellStyle name="千位分隔[0] 4" xfId="3512" xr:uid="{D38F03CF-920E-4D24-9CD2-8B76525001FD}"/>
    <cellStyle name="超連結" xfId="3449" xr:uid="{3B69521A-A2A0-4716-980B-8982E90B0CBD}"/>
    <cellStyle name="超链接 2" xfId="3450" xr:uid="{1FE99227-571C-444E-87FC-2F4B4248CDE9}"/>
    <cellStyle name="超链接 2 2" xfId="3982" xr:uid="{B6A59D1B-4F40-4561-B383-01AF5AA0124E}"/>
    <cellStyle name="超链接 3" xfId="4487" xr:uid="{7F5D6DDB-05F3-4A91-9DE4-3E31FA695AB8}"/>
    <cellStyle name="出力" xfId="3983" xr:uid="{9A5F3A4A-EDE8-473E-BC75-3FE7A31146BA}"/>
    <cellStyle name="出力 2" xfId="4430" xr:uid="{07B85490-C2BA-4EAA-BF9D-9A75066FB9F8}"/>
    <cellStyle name="出力 3" xfId="4319" xr:uid="{520163D5-0DCD-4BC0-9C96-F57CFF6C2E31}"/>
    <cellStyle name="콤마 [0]_(40)LC관련" xfId="3548" xr:uid="{E31DBF14-CE7A-4D2E-A85D-5B3463B30DA9}"/>
    <cellStyle name="콤마_11월 거래처별" xfId="3549" xr:uid="{FD7EC01A-D0C6-4EE3-8F85-CE3F4235D369}"/>
    <cellStyle name="烹拳 [0]_97MBO" xfId="3482" xr:uid="{172AE12C-6349-4D27-A3CB-6711B6BC3DF7}"/>
    <cellStyle name="烹拳_97MBO" xfId="3483" xr:uid="{ADFD581E-759D-49B7-99B5-B0E01A58BAA0}"/>
    <cellStyle name="標題" xfId="3413" xr:uid="{DC7C81B1-458E-4044-B22E-57C1F3B929DA}"/>
    <cellStyle name="標題 1" xfId="3414" xr:uid="{CCF68327-E11D-430C-B0B6-D14585C45FF5}"/>
    <cellStyle name="标题 1 2" xfId="4476" xr:uid="{A9331BF4-0317-4160-9F7E-2328920C41C4}"/>
    <cellStyle name="標題 2" xfId="3415" xr:uid="{7F460D6C-6828-4635-B4D7-976673408C2F}"/>
    <cellStyle name="标题 2 2" xfId="4477" xr:uid="{D93F53F5-BEC8-4A2F-9145-3161DBDB4C1A}"/>
    <cellStyle name="標題 3" xfId="3416" xr:uid="{93CA2A8E-C9FD-450F-AEF2-E0AA48E25BD5}"/>
    <cellStyle name="标题 3 2" xfId="4478" xr:uid="{422672F5-8037-4B4F-A76A-3CA04FDA0594}"/>
    <cellStyle name="標題 4" xfId="3417" xr:uid="{28A24C03-E57A-48D3-8E16-34D130196500}"/>
    <cellStyle name="标题 4 2" xfId="4479" xr:uid="{B2C60575-145D-42FF-9012-7380520D211F}"/>
    <cellStyle name="标题 5" xfId="4480" xr:uid="{6BD60617-3AC5-4268-80EA-98D2ED20671C}"/>
    <cellStyle name="표준" xfId="0" builtinId="0"/>
    <cellStyle name="標準 - スタイル1" xfId="3803" xr:uid="{07F1E12A-E510-425C-96A7-F09D37999317}"/>
    <cellStyle name="標準 - スタイル2" xfId="3804" xr:uid="{BBBEA61C-F340-465F-B3FC-8D7DF3B447AC}"/>
    <cellStyle name="標準 - スタイル3" xfId="3805" xr:uid="{008D899E-EDC4-409B-B8CB-7E9872B4EE95}"/>
    <cellStyle name="標準 - スタイル4" xfId="3806" xr:uid="{60B11065-1292-4C0D-8499-F27A7BB73354}"/>
    <cellStyle name="標準 - スタイル5" xfId="3807" xr:uid="{FC3A16FD-7288-4AA5-8513-2D43A792695E}"/>
    <cellStyle name="標準 - スタイル6" xfId="3808" xr:uid="{874E8079-9DC3-4DA1-AC60-CA549E2199C9}"/>
    <cellStyle name="標準 - スタイル7" xfId="3809" xr:uid="{D6B70E31-4DB2-4FCA-B5E3-3AC5785522B9}"/>
    <cellStyle name="標準 - スタイル8" xfId="3810" xr:uid="{41CBE92F-03C4-4DE0-BD50-327F18E6927E}"/>
    <cellStyle name="표준 10" xfId="39" xr:uid="{00000000-0005-0000-0000-000052000000}"/>
    <cellStyle name="표준 11" xfId="36" xr:uid="{00000000-0005-0000-0000-000053000000}"/>
    <cellStyle name="표준 12" xfId="67" xr:uid="{00000000-0005-0000-0000-000054000000}"/>
    <cellStyle name="표준 13" xfId="92" xr:uid="{AF010C96-0B27-48D9-B790-E3F7039E29B3}"/>
    <cellStyle name="표준 14" xfId="95" xr:uid="{95E3FDBA-8960-4BCE-B4EB-3FE383B0A4EF}"/>
    <cellStyle name="표준 15" xfId="117" xr:uid="{72146681-59C3-4C58-A25D-23F3CE2F9896}"/>
    <cellStyle name="표준 16" xfId="116" xr:uid="{FF47A53F-454C-47EE-A156-B1902BAFDFE9}"/>
    <cellStyle name="표준 17" xfId="119" xr:uid="{72480E92-07F2-4DA7-ACB2-1485B3738B7E}"/>
    <cellStyle name="표준 18" xfId="122" xr:uid="{6B1B40EB-45E8-4B92-A8BA-302906CE5AA7}"/>
    <cellStyle name="표준 2" xfId="4" xr:uid="{00000000-0005-0000-0000-000055000000}"/>
    <cellStyle name="표준 2 2" xfId="4729" xr:uid="{6D2FCD12-7246-4248-8931-0FBF5CD4D65E}"/>
    <cellStyle name="표준 3" xfId="5" xr:uid="{00000000-0005-0000-0000-000056000000}"/>
    <cellStyle name="표준 3 2" xfId="4731" xr:uid="{029E85FA-9331-4D03-AF82-D87B43CDF5AE}"/>
    <cellStyle name="표준 4" xfId="8" xr:uid="{00000000-0005-0000-0000-000057000000}"/>
    <cellStyle name="표준 4 2" xfId="4736" xr:uid="{23D03883-E2A6-4C10-9670-2521CBA1EDC0}"/>
    <cellStyle name="표준 5" xfId="35" xr:uid="{00000000-0005-0000-0000-000058000000}"/>
    <cellStyle name="표준 5 2" xfId="4741" xr:uid="{60F58EF8-AD01-4E75-923D-A4FF4B34ED4D}"/>
    <cellStyle name="표준 6" xfId="40" xr:uid="{00000000-0005-0000-0000-000059000000}"/>
    <cellStyle name="표준 6 2" xfId="4739" xr:uid="{92042A19-8BFB-44AD-87D6-884164C76160}"/>
    <cellStyle name="표준 7" xfId="37" xr:uid="{00000000-0005-0000-0000-00005A000000}"/>
    <cellStyle name="표준 7 2" xfId="4745" xr:uid="{DD5BA5EE-B670-4DC4-8B7A-22BE3C4A000B}"/>
    <cellStyle name="표준 8" xfId="38" xr:uid="{00000000-0005-0000-0000-00005B000000}"/>
    <cellStyle name="표준 8 2" xfId="4743" xr:uid="{D8A34265-2EE8-448F-9380-ED7C026A7A10}"/>
    <cellStyle name="표준 9" xfId="41" xr:uid="{00000000-0005-0000-0000-00005C000000}"/>
    <cellStyle name="標準_011170 前渡金 " xfId="3811" xr:uid="{B8712194-566C-4623-98AD-27F8123124C7}"/>
    <cellStyle name="標準2" xfId="3812" xr:uid="{450048B4-7130-4A44-BB27-81495A8B23C3}"/>
    <cellStyle name="標準３" xfId="3813" xr:uid="{B51C805A-9726-461C-B4A4-78AC383B3907}"/>
    <cellStyle name="標準Ａ" xfId="3814" xr:uid="{2D739337-B47F-40B7-9694-643372936935}"/>
    <cellStyle name="標準フォント" xfId="3815" xr:uid="{E6FFD1AB-C30E-4450-9FF6-121C143B1D86}"/>
    <cellStyle name="標徨嬀　⸀　　" xfId="3801" xr:uid="{ADD090B1-5039-47F6-BE06-A4463F52CC01}"/>
    <cellStyle name="標徨眀酥⸀　　崀" xfId="3802" xr:uid="{874CFF0A-D732-4AB0-9DE2-1D878D0AC062}"/>
    <cellStyle name="合計" xfId="3471" xr:uid="{E5EDD79E-170B-4962-A318-7D60CD492324}"/>
    <cellStyle name="合計 2" xfId="4131" xr:uid="{CBE2DD48-0D5A-489E-8EEA-4E1C52868A40}"/>
    <cellStyle name="合計 3" xfId="4169" xr:uid="{3DA37E75-3C29-4CF1-B849-65DA97E37CC8}"/>
    <cellStyle name="桁区切り [0.00]_ｺﾋﾟｰWGQ Monthly Reporting_FS Nov07 v2 (2)" xfId="3985" xr:uid="{11F5CE2D-1AF7-475D-BDA5-BDE0F6B0FECE}"/>
    <cellStyle name="桁区切り_NCCK Loan Receivable &amp; Payable_2007" xfId="3986" xr:uid="{F4092AD1-9E6D-4393-B8D5-032B08D683FA}"/>
    <cellStyle name="解释性文本 2" xfId="4484" xr:uid="{CC50528F-3A75-4AD4-B20B-BCA563686C5E}"/>
    <cellStyle name="型番" xfId="4031" xr:uid="{04732B59-24B1-4E79-91CE-C91B56673FD5}"/>
    <cellStyle name="好 2" xfId="4466" xr:uid="{2BC1E06B-079E-4656-884F-ACB0BE93A800}"/>
    <cellStyle name="好_Book1" xfId="3459" xr:uid="{A1DCF5E9-A681-4F99-A5E2-9408CF06D41B}"/>
    <cellStyle name="好_Hard Asset Profile" xfId="3460" xr:uid="{C18F5311-ECDD-4F7E-9891-6AE262EA32AB}"/>
    <cellStyle name="好_Monthly  Financial__ Reporting-Xinhoo-may 09" xfId="3461" xr:uid="{E17B0694-44A1-49CE-9791-915E242F86B9}"/>
    <cellStyle name="好_Monthly Financial Reporting - Xinhoo(2009.10)" xfId="3462" xr:uid="{57212104-F096-43AA-8CF8-84AF5FD46C68}"/>
    <cellStyle name="好_Monthly Financial Reporting-Xinhoo-2009.11" xfId="3463" xr:uid="{8BB10E2E-56DF-49A8-A82B-064927CEA854}"/>
    <cellStyle name="好_NOI analysis(JD&amp;NC&amp;LFIC）" xfId="3464" xr:uid="{32E549C9-03F9-4262-B456-DC4EC6210D62}"/>
    <cellStyle name="好_P&amp;L" xfId="3465" xr:uid="{B01D6C14-74AD-4F44-9550-30E2300CDC06}"/>
    <cellStyle name="好_PL&amp;CS form" xfId="3466" xr:uid="{0C5BD62F-970A-4073-BB19-0DFB45C414EA}"/>
    <cellStyle name="好_RCS" xfId="3467" xr:uid="{50B466A3-D127-432C-9EAF-E919D90CA1CD}"/>
    <cellStyle name="好_RESULTS" xfId="4467" xr:uid="{2113FA69-06DD-4724-8C0C-3B52D6C4EBEE}"/>
    <cellStyle name="好_北京" xfId="3468" xr:uid="{C9401C24-603A-496D-8619-E5A97A8B665D}"/>
    <cellStyle name="好_北京(CS)" xfId="3469" xr:uid="{B05244EA-DA5D-403C-A319-294DDE7C51C1}"/>
    <cellStyle name="好_项目总表__20080116总表" xfId="3470" xr:uid="{6FB8356C-6173-4726-9192-C70F972B0BEC}"/>
    <cellStyle name="货币[0] 2" xfId="3987" xr:uid="{1267220D-E435-4476-BD59-1139351CBC0A}"/>
    <cellStyle name="货币[0] 2 2" xfId="3988" xr:uid="{5EF04E3D-196D-4088-8313-7C1AFB272E92}"/>
    <cellStyle name="货币[0] 3" xfId="3989" xr:uid="{2569A603-4616-4FDC-B508-4C272FAF3E3F}"/>
    <cellStyle name="貨幣 [0]_CFB617" xfId="3473" xr:uid="{97E10D0A-0A13-4B5E-A6F8-F07791B9E519}"/>
    <cellStyle name="貨幣[0]_0101-0108" xfId="3474" xr:uid="{C7109507-9C9C-469B-A056-E1A1FECB6C8E}"/>
    <cellStyle name="貨幣_CFB617" xfId="3475" xr:uid="{68FE360B-2A60-4679-B8C2-C29C2458C552}"/>
    <cellStyle name="汇总 2" xfId="4482" xr:uid="{1F46B2A3-C3D6-4C1F-A9A8-2921CAE695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ra Kim" id="{E47433AF-D2BD-4188-A827-69C266AA978E}" userId="Nara Kim" providerId="None"/>
  <person displayName="Jaehyun Kim" id="{A424F535-8299-4A5E-B625-DE8575E999EA}" userId="Jaehyun Kim" providerId="None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74" dT="2019-04-08T09:01:04.35" personId="{E47433AF-D2BD-4188-A827-69C266AA978E}" id="{989560C2-4317-4356-8DB1-B9D680F99C73}">
    <text>Changwon (Ilmok Networks Pte 잔액 사용 후 차액)
추후 39 call에서 받음</text>
  </threadedComment>
  <threadedComment ref="R253" dT="2019-01-02T02:02:49.09" personId="{A424F535-8299-4A5E-B625-DE8575E999EA}" id="{B0B9FD27-0956-4C44-A776-0DE3E124FE5F}">
    <text>upfront fee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</sheetPr>
  <dimension ref="B1:Y46"/>
  <sheetViews>
    <sheetView topLeftCell="D1" zoomScaleNormal="100" workbookViewId="0">
      <selection activeCell="E167" sqref="E14:E167"/>
    </sheetView>
  </sheetViews>
  <sheetFormatPr defaultColWidth="8.75" defaultRowHeight="13.5"/>
  <cols>
    <col min="1" max="1" width="1.25" style="6" customWidth="1"/>
    <col min="2" max="2" width="13.75" style="6" customWidth="1"/>
    <col min="3" max="3" width="18.75" style="6" customWidth="1"/>
    <col min="4" max="4" width="9.625" style="6" customWidth="1"/>
    <col min="5" max="5" width="30.125" style="6" customWidth="1"/>
    <col min="6" max="6" width="13.25" style="6" bestFit="1" customWidth="1"/>
    <col min="7" max="7" width="14.625" style="6" bestFit="1" customWidth="1"/>
    <col min="8" max="8" width="13.25" style="6" bestFit="1" customWidth="1"/>
    <col min="9" max="9" width="14.625" style="6" bestFit="1" customWidth="1"/>
    <col min="10" max="10" width="13.25" style="6" bestFit="1" customWidth="1"/>
    <col min="11" max="11" width="14.625" style="6" bestFit="1" customWidth="1"/>
    <col min="12" max="12" width="13.25" style="6" bestFit="1" customWidth="1"/>
    <col min="13" max="13" width="14.625" style="6" bestFit="1" customWidth="1"/>
    <col min="14" max="14" width="13.25" style="6" bestFit="1" customWidth="1"/>
    <col min="15" max="15" width="14.625" style="6" bestFit="1" customWidth="1"/>
    <col min="16" max="16" width="13.25" style="6" bestFit="1" customWidth="1"/>
    <col min="17" max="17" width="14.625" style="6" bestFit="1" customWidth="1"/>
    <col min="18" max="21" width="14.625" style="6" customWidth="1"/>
    <col min="22" max="22" width="6.125" style="6" customWidth="1"/>
    <col min="23" max="23" width="14.625" style="6" bestFit="1" customWidth="1"/>
    <col min="24" max="24" width="2.125" style="6" customWidth="1"/>
    <col min="25" max="25" width="12.75" style="6" bestFit="1" customWidth="1"/>
    <col min="26" max="16384" width="8.75" style="6"/>
  </cols>
  <sheetData>
    <row r="1" spans="2:25" ht="6.6" customHeight="1" thickBot="1"/>
    <row r="2" spans="2:25" ht="17.649999999999999" customHeight="1">
      <c r="B2" s="14" t="s">
        <v>56</v>
      </c>
      <c r="C2" s="15" t="s">
        <v>42</v>
      </c>
      <c r="D2" s="15" t="s">
        <v>72</v>
      </c>
      <c r="E2" s="47" t="s">
        <v>26</v>
      </c>
      <c r="F2" s="320" t="s">
        <v>160</v>
      </c>
      <c r="G2" s="321"/>
      <c r="H2" s="320" t="s">
        <v>120</v>
      </c>
      <c r="I2" s="321"/>
      <c r="J2" s="320" t="s">
        <v>135</v>
      </c>
      <c r="K2" s="321"/>
      <c r="L2" s="320" t="s">
        <v>102</v>
      </c>
      <c r="M2" s="321"/>
      <c r="N2" s="320" t="s">
        <v>136</v>
      </c>
      <c r="O2" s="321"/>
      <c r="P2" s="320" t="s">
        <v>138</v>
      </c>
      <c r="Q2" s="321"/>
      <c r="R2" s="320" t="s">
        <v>193</v>
      </c>
      <c r="S2" s="321"/>
      <c r="T2" s="320" t="s">
        <v>194</v>
      </c>
      <c r="U2" s="321"/>
      <c r="W2" s="17" t="s">
        <v>143</v>
      </c>
      <c r="Y2" s="17" t="s">
        <v>142</v>
      </c>
    </row>
    <row r="3" spans="2:25">
      <c r="B3" s="14"/>
      <c r="C3" s="15"/>
      <c r="D3" s="15"/>
      <c r="E3" s="47"/>
      <c r="F3" s="53" t="s">
        <v>146</v>
      </c>
      <c r="G3" s="59" t="s">
        <v>147</v>
      </c>
      <c r="H3" s="53" t="s">
        <v>146</v>
      </c>
      <c r="I3" s="59" t="s">
        <v>147</v>
      </c>
      <c r="J3" s="53" t="s">
        <v>146</v>
      </c>
      <c r="K3" s="59" t="s">
        <v>147</v>
      </c>
      <c r="L3" s="53" t="s">
        <v>146</v>
      </c>
      <c r="M3" s="59" t="s">
        <v>147</v>
      </c>
      <c r="N3" s="53" t="s">
        <v>146</v>
      </c>
      <c r="O3" s="59" t="s">
        <v>147</v>
      </c>
      <c r="P3" s="53" t="s">
        <v>146</v>
      </c>
      <c r="Q3" s="59" t="s">
        <v>147</v>
      </c>
      <c r="R3" s="53" t="s">
        <v>146</v>
      </c>
      <c r="S3" s="59" t="s">
        <v>147</v>
      </c>
      <c r="T3" s="53" t="s">
        <v>146</v>
      </c>
      <c r="U3" s="59" t="s">
        <v>147</v>
      </c>
      <c r="W3" s="59" t="s">
        <v>147</v>
      </c>
      <c r="Y3" s="53" t="s">
        <v>146</v>
      </c>
    </row>
    <row r="4" spans="2:25">
      <c r="B4" s="311" t="s">
        <v>163</v>
      </c>
      <c r="C4" s="314">
        <v>43308</v>
      </c>
      <c r="D4" s="322">
        <f>D27</f>
        <v>1098.8235048381839</v>
      </c>
      <c r="E4" s="48" t="s">
        <v>148</v>
      </c>
      <c r="F4" s="50">
        <f>H4+J4+L4+N4+P4+Y4+R4+T4</f>
        <v>549411751.92000008</v>
      </c>
      <c r="G4" s="56">
        <f>I4+K4+M4+O4+Q4+W4+S4+U4</f>
        <v>144068039533</v>
      </c>
      <c r="H4" s="50">
        <f>ROUND(H27*$D$27,0)</f>
        <v>109882350</v>
      </c>
      <c r="I4" s="56">
        <v>32561049600</v>
      </c>
      <c r="J4" s="50">
        <f>ROUND(J27*$D$27,2)</f>
        <v>109882350.48</v>
      </c>
      <c r="K4" s="56">
        <v>22131620019</v>
      </c>
      <c r="L4" s="50">
        <f>ROUND(L27*$D$27,2)</f>
        <v>109882350.48</v>
      </c>
      <c r="M4" s="56">
        <v>23650179728</v>
      </c>
      <c r="N4" s="50">
        <f>ROUND(N27*$D$27,2)</f>
        <v>109882350.48</v>
      </c>
      <c r="O4" s="56">
        <v>28266655405</v>
      </c>
      <c r="P4" s="50">
        <f>ROUND(P27*$D$27,2)</f>
        <v>109882350.48</v>
      </c>
      <c r="Q4" s="56">
        <v>23947025375</v>
      </c>
      <c r="R4" s="50"/>
      <c r="S4" s="56"/>
      <c r="T4" s="50"/>
      <c r="U4" s="56"/>
      <c r="W4" s="57">
        <v>13511509406</v>
      </c>
      <c r="Y4" s="12"/>
    </row>
    <row r="5" spans="2:25">
      <c r="B5" s="312"/>
      <c r="C5" s="315"/>
      <c r="D5" s="323"/>
      <c r="E5" s="48" t="s">
        <v>149</v>
      </c>
      <c r="F5" s="50">
        <f t="shared" ref="F5:F13" si="0">H5+J5+L5+N5+P5+Y5+R5+T5</f>
        <v>0</v>
      </c>
      <c r="G5" s="56">
        <f t="shared" ref="G5:G13" si="1">I5+K5+M5+O5+Q5+W5+S5+U5</f>
        <v>1161561765</v>
      </c>
      <c r="H5" s="50"/>
      <c r="I5" s="56"/>
      <c r="J5" s="50"/>
      <c r="K5" s="56">
        <f>716400000</f>
        <v>716400000</v>
      </c>
      <c r="L5" s="50"/>
      <c r="M5" s="56"/>
      <c r="N5" s="50"/>
      <c r="O5" s="56"/>
      <c r="P5" s="50"/>
      <c r="Q5" s="56"/>
      <c r="R5" s="50"/>
      <c r="S5" s="56"/>
      <c r="T5" s="50"/>
      <c r="U5" s="56"/>
      <c r="W5" s="57">
        <v>445161765</v>
      </c>
      <c r="Y5" s="12"/>
    </row>
    <row r="6" spans="2:25">
      <c r="B6" s="313"/>
      <c r="C6" s="316"/>
      <c r="D6" s="324"/>
      <c r="E6" s="48" t="s">
        <v>150</v>
      </c>
      <c r="F6" s="50">
        <f t="shared" si="0"/>
        <v>0</v>
      </c>
      <c r="G6" s="56">
        <f t="shared" si="1"/>
        <v>2602600000</v>
      </c>
      <c r="H6" s="50"/>
      <c r="I6" s="56">
        <v>504000000</v>
      </c>
      <c r="J6" s="50"/>
      <c r="K6" s="56">
        <v>315000000</v>
      </c>
      <c r="L6" s="50"/>
      <c r="M6" s="56">
        <v>460800000</v>
      </c>
      <c r="N6" s="50"/>
      <c r="O6" s="56">
        <v>397800000</v>
      </c>
      <c r="P6" s="50"/>
      <c r="Q6" s="56">
        <v>585000000</v>
      </c>
      <c r="R6" s="50"/>
      <c r="S6" s="56"/>
      <c r="T6" s="50"/>
      <c r="U6" s="56"/>
      <c r="W6" s="57">
        <v>340000000</v>
      </c>
      <c r="Y6" s="12"/>
    </row>
    <row r="7" spans="2:25">
      <c r="B7" s="311" t="s">
        <v>192</v>
      </c>
      <c r="C7" s="314">
        <v>43451</v>
      </c>
      <c r="D7" s="3"/>
      <c r="E7" s="48" t="s">
        <v>195</v>
      </c>
      <c r="F7" s="50">
        <f t="shared" si="0"/>
        <v>0</v>
      </c>
      <c r="G7" s="56">
        <f t="shared" si="1"/>
        <v>21563383572</v>
      </c>
      <c r="H7" s="50"/>
      <c r="I7" s="56"/>
      <c r="J7" s="50"/>
      <c r="K7" s="56"/>
      <c r="L7" s="50"/>
      <c r="M7" s="56"/>
      <c r="N7" s="50"/>
      <c r="O7" s="56"/>
      <c r="P7" s="50"/>
      <c r="Q7" s="56"/>
      <c r="R7" s="50"/>
      <c r="S7" s="56">
        <v>8863383572</v>
      </c>
      <c r="T7" s="50"/>
      <c r="U7" s="56">
        <v>12700000000</v>
      </c>
      <c r="W7" s="57"/>
      <c r="Y7" s="12"/>
    </row>
    <row r="8" spans="2:25">
      <c r="B8" s="312"/>
      <c r="C8" s="315"/>
      <c r="D8" s="3"/>
      <c r="E8" s="48" t="s">
        <v>196</v>
      </c>
      <c r="F8" s="50">
        <f t="shared" si="0"/>
        <v>0</v>
      </c>
      <c r="G8" s="56">
        <f t="shared" si="1"/>
        <v>684820397</v>
      </c>
      <c r="H8" s="50"/>
      <c r="I8" s="56"/>
      <c r="J8" s="50"/>
      <c r="K8" s="56"/>
      <c r="L8" s="50"/>
      <c r="M8" s="56"/>
      <c r="N8" s="50"/>
      <c r="O8" s="56"/>
      <c r="P8" s="50"/>
      <c r="Q8" s="56"/>
      <c r="R8" s="50"/>
      <c r="S8" s="56">
        <v>684820397</v>
      </c>
      <c r="T8" s="50"/>
      <c r="U8" s="56"/>
      <c r="W8" s="57"/>
      <c r="Y8" s="12"/>
    </row>
    <row r="9" spans="2:25">
      <c r="B9" s="313"/>
      <c r="C9" s="316"/>
      <c r="D9" s="3"/>
      <c r="E9" s="48" t="s">
        <v>197</v>
      </c>
      <c r="F9" s="50">
        <f t="shared" si="0"/>
        <v>0</v>
      </c>
      <c r="G9" s="56">
        <f t="shared" si="1"/>
        <v>135839000</v>
      </c>
      <c r="H9" s="50"/>
      <c r="I9" s="56">
        <v>36717000</v>
      </c>
      <c r="J9" s="50"/>
      <c r="K9" s="56">
        <v>23268000</v>
      </c>
      <c r="L9" s="50"/>
      <c r="M9" s="56">
        <v>23535000</v>
      </c>
      <c r="N9" s="50"/>
      <c r="O9" s="56">
        <v>32134000</v>
      </c>
      <c r="P9" s="50"/>
      <c r="Q9" s="56">
        <v>1537000</v>
      </c>
      <c r="R9" s="50"/>
      <c r="S9" s="56"/>
      <c r="T9" s="50"/>
      <c r="U9" s="56"/>
      <c r="W9" s="57">
        <v>18648000</v>
      </c>
      <c r="Y9" s="12"/>
    </row>
    <row r="10" spans="2:25">
      <c r="B10" s="5"/>
      <c r="C10" s="2"/>
      <c r="D10" s="3"/>
      <c r="E10" s="48"/>
      <c r="F10" s="50">
        <f t="shared" si="0"/>
        <v>0</v>
      </c>
      <c r="G10" s="56">
        <f t="shared" si="1"/>
        <v>0</v>
      </c>
      <c r="H10" s="50"/>
      <c r="I10" s="56"/>
      <c r="J10" s="50"/>
      <c r="K10" s="56"/>
      <c r="L10" s="50"/>
      <c r="M10" s="56"/>
      <c r="N10" s="50"/>
      <c r="O10" s="56"/>
      <c r="P10" s="50"/>
      <c r="Q10" s="56"/>
      <c r="R10" s="50"/>
      <c r="S10" s="56"/>
      <c r="T10" s="50"/>
      <c r="U10" s="56"/>
      <c r="W10" s="57"/>
      <c r="Y10" s="12"/>
    </row>
    <row r="11" spans="2:25">
      <c r="B11" s="5"/>
      <c r="C11" s="2"/>
      <c r="D11" s="3"/>
      <c r="E11" s="48"/>
      <c r="F11" s="50">
        <f t="shared" si="0"/>
        <v>0</v>
      </c>
      <c r="G11" s="56">
        <f t="shared" si="1"/>
        <v>0</v>
      </c>
      <c r="H11" s="50"/>
      <c r="I11" s="56"/>
      <c r="J11" s="50"/>
      <c r="K11" s="56"/>
      <c r="L11" s="50"/>
      <c r="M11" s="56"/>
      <c r="N11" s="50"/>
      <c r="O11" s="56"/>
      <c r="P11" s="50"/>
      <c r="Q11" s="56"/>
      <c r="R11" s="50"/>
      <c r="S11" s="56"/>
      <c r="T11" s="50"/>
      <c r="U11" s="56"/>
      <c r="W11" s="57"/>
      <c r="Y11" s="12"/>
    </row>
    <row r="12" spans="2:25">
      <c r="B12" s="5"/>
      <c r="C12" s="2"/>
      <c r="D12" s="3"/>
      <c r="E12" s="48"/>
      <c r="F12" s="50">
        <f t="shared" si="0"/>
        <v>0</v>
      </c>
      <c r="G12" s="56">
        <f t="shared" si="1"/>
        <v>0</v>
      </c>
      <c r="H12" s="50"/>
      <c r="I12" s="56"/>
      <c r="J12" s="50"/>
      <c r="K12" s="56"/>
      <c r="L12" s="50"/>
      <c r="M12" s="56"/>
      <c r="N12" s="50"/>
      <c r="O12" s="56"/>
      <c r="P12" s="50"/>
      <c r="Q12" s="56"/>
      <c r="R12" s="50"/>
      <c r="S12" s="56"/>
      <c r="T12" s="50"/>
      <c r="U12" s="56"/>
      <c r="W12" s="57"/>
      <c r="Y12" s="12"/>
    </row>
    <row r="13" spans="2:25">
      <c r="B13" s="5"/>
      <c r="C13" s="2"/>
      <c r="D13" s="3"/>
      <c r="E13" s="48"/>
      <c r="F13" s="50">
        <f t="shared" si="0"/>
        <v>0</v>
      </c>
      <c r="G13" s="56">
        <f t="shared" si="1"/>
        <v>0</v>
      </c>
      <c r="H13" s="50"/>
      <c r="I13" s="56"/>
      <c r="J13" s="50"/>
      <c r="K13" s="56"/>
      <c r="L13" s="50"/>
      <c r="M13" s="56"/>
      <c r="N13" s="50"/>
      <c r="O13" s="56"/>
      <c r="P13" s="50"/>
      <c r="Q13" s="56"/>
      <c r="R13" s="50"/>
      <c r="S13" s="56"/>
      <c r="T13" s="50"/>
      <c r="U13" s="56"/>
      <c r="W13" s="57"/>
      <c r="Y13" s="12"/>
    </row>
    <row r="14" spans="2:25" ht="14.25" thickBot="1">
      <c r="B14" s="22" t="s">
        <v>27</v>
      </c>
      <c r="C14" s="22"/>
      <c r="D14" s="22"/>
      <c r="E14" s="49"/>
      <c r="F14" s="51">
        <f t="shared" ref="F14:G14" si="2">SUM(F4:F13)</f>
        <v>549411751.92000008</v>
      </c>
      <c r="G14" s="52">
        <f t="shared" si="2"/>
        <v>170216244267</v>
      </c>
      <c r="H14" s="51">
        <f t="shared" ref="H14:Q14" si="3">SUM(H4:H13)</f>
        <v>109882350</v>
      </c>
      <c r="I14" s="52">
        <f t="shared" si="3"/>
        <v>33101766600</v>
      </c>
      <c r="J14" s="51">
        <f t="shared" si="3"/>
        <v>109882350.48</v>
      </c>
      <c r="K14" s="52">
        <f t="shared" si="3"/>
        <v>23186288019</v>
      </c>
      <c r="L14" s="51">
        <f t="shared" si="3"/>
        <v>109882350.48</v>
      </c>
      <c r="M14" s="52">
        <f t="shared" si="3"/>
        <v>24134514728</v>
      </c>
      <c r="N14" s="51">
        <f t="shared" si="3"/>
        <v>109882350.48</v>
      </c>
      <c r="O14" s="52">
        <f t="shared" si="3"/>
        <v>28696589405</v>
      </c>
      <c r="P14" s="51">
        <f t="shared" si="3"/>
        <v>109882350.48</v>
      </c>
      <c r="Q14" s="52">
        <f t="shared" si="3"/>
        <v>24533562375</v>
      </c>
      <c r="R14" s="51">
        <f t="shared" ref="R14:S14" si="4">SUM(R4:R13)</f>
        <v>0</v>
      </c>
      <c r="S14" s="52">
        <f t="shared" si="4"/>
        <v>9548203969</v>
      </c>
      <c r="T14" s="51">
        <f t="shared" ref="T14:U14" si="5">SUM(T4:T13)</f>
        <v>0</v>
      </c>
      <c r="U14" s="52">
        <f t="shared" si="5"/>
        <v>12700000000</v>
      </c>
      <c r="W14" s="23">
        <f>SUM(W4:W13)</f>
        <v>14315319171</v>
      </c>
      <c r="Y14" s="23">
        <f>SUM(Y4:Y13)</f>
        <v>0</v>
      </c>
    </row>
    <row r="15" spans="2:25">
      <c r="B15" s="60" t="s">
        <v>145</v>
      </c>
      <c r="C15" s="60"/>
      <c r="D15" s="60"/>
      <c r="E15" s="61"/>
      <c r="F15" s="62"/>
      <c r="G15" s="63"/>
      <c r="H15" s="62"/>
      <c r="I15" s="63"/>
      <c r="J15" s="62"/>
      <c r="K15" s="63"/>
      <c r="L15" s="62"/>
      <c r="M15" s="63"/>
      <c r="N15" s="62"/>
      <c r="O15" s="63"/>
      <c r="P15" s="62"/>
      <c r="Q15" s="63"/>
      <c r="R15" s="62"/>
      <c r="S15" s="63"/>
      <c r="T15" s="62"/>
      <c r="U15" s="63"/>
      <c r="W15" s="72"/>
      <c r="Y15" s="72"/>
    </row>
    <row r="16" spans="2:25">
      <c r="B16" s="76" t="s">
        <v>151</v>
      </c>
      <c r="C16" s="77" t="s">
        <v>152</v>
      </c>
      <c r="D16" s="78"/>
      <c r="E16" s="79"/>
      <c r="F16" s="80">
        <f t="shared" ref="F16" si="6">H16+J16+L16+N16+P16+Y16</f>
        <v>549411751.92000008</v>
      </c>
      <c r="G16" s="81">
        <f t="shared" ref="G16" si="7">I16+K16+M16+O16+Q16+W16</f>
        <v>0</v>
      </c>
      <c r="H16" s="80">
        <f>H14-H15</f>
        <v>109882350</v>
      </c>
      <c r="I16" s="81"/>
      <c r="J16" s="80">
        <f>J14-J15</f>
        <v>109882350.48</v>
      </c>
      <c r="K16" s="81"/>
      <c r="L16" s="80">
        <f>L14-L15</f>
        <v>109882350.48</v>
      </c>
      <c r="M16" s="81"/>
      <c r="N16" s="80">
        <f>N14-N15</f>
        <v>109882350.48</v>
      </c>
      <c r="O16" s="81"/>
      <c r="P16" s="80">
        <f>P14-P15</f>
        <v>109882350.48</v>
      </c>
      <c r="Q16" s="81"/>
      <c r="R16" s="80">
        <f>R14-R15</f>
        <v>0</v>
      </c>
      <c r="S16" s="81"/>
      <c r="T16" s="80">
        <f>T14-T15</f>
        <v>0</v>
      </c>
      <c r="U16" s="81"/>
      <c r="V16" s="82"/>
      <c r="W16" s="83"/>
      <c r="Y16" s="80">
        <f>Y14-Y15</f>
        <v>0</v>
      </c>
    </row>
    <row r="17" spans="2:25">
      <c r="B17" s="74" t="s">
        <v>153</v>
      </c>
      <c r="C17" s="84">
        <v>43308</v>
      </c>
      <c r="D17" s="74">
        <v>1098.8235048381839</v>
      </c>
      <c r="E17" s="75" t="s">
        <v>161</v>
      </c>
      <c r="F17" s="66">
        <f t="shared" ref="F17:F21" si="8">H17+J17+L17+N17+P17+Y17+R17+T17</f>
        <v>13956869373.080002</v>
      </c>
      <c r="G17" s="67">
        <f t="shared" ref="G17:G21" si="9">I17+K17+M17+O17+Q17+W17+S17+U17</f>
        <v>0</v>
      </c>
      <c r="H17" s="66">
        <f>3617894400-H16</f>
        <v>3508012050</v>
      </c>
      <c r="I17" s="67"/>
      <c r="J17" s="66">
        <f>2459068891-J16</f>
        <v>2349186540.52</v>
      </c>
      <c r="K17" s="67"/>
      <c r="L17" s="66">
        <f>2627797748-L16</f>
        <v>2517915397.52</v>
      </c>
      <c r="M17" s="67"/>
      <c r="N17" s="66">
        <f>3140739489-N16</f>
        <v>3030857138.52</v>
      </c>
      <c r="O17" s="67"/>
      <c r="P17" s="66">
        <f>2660780597-P16</f>
        <v>2550898246.52</v>
      </c>
      <c r="Q17" s="67"/>
      <c r="R17" s="66"/>
      <c r="S17" s="67"/>
      <c r="T17" s="66"/>
      <c r="U17" s="67"/>
      <c r="V17" s="73"/>
      <c r="W17" s="64"/>
      <c r="Y17" s="64"/>
    </row>
    <row r="18" spans="2:25">
      <c r="B18" s="70"/>
      <c r="C18" s="70"/>
      <c r="D18" s="70"/>
      <c r="E18" s="71"/>
      <c r="F18" s="66">
        <f t="shared" si="8"/>
        <v>0</v>
      </c>
      <c r="G18" s="67">
        <f t="shared" si="9"/>
        <v>0</v>
      </c>
      <c r="H18" s="66"/>
      <c r="I18" s="67"/>
      <c r="J18" s="66"/>
      <c r="K18" s="67"/>
      <c r="L18" s="66"/>
      <c r="M18" s="67"/>
      <c r="N18" s="66"/>
      <c r="O18" s="67"/>
      <c r="P18" s="66"/>
      <c r="Q18" s="67"/>
      <c r="R18" s="66"/>
      <c r="S18" s="67"/>
      <c r="T18" s="66"/>
      <c r="U18" s="67"/>
      <c r="V18" s="73"/>
      <c r="W18" s="64"/>
      <c r="Y18" s="64"/>
    </row>
    <row r="19" spans="2:25">
      <c r="B19" s="70"/>
      <c r="C19" s="70"/>
      <c r="D19" s="70"/>
      <c r="E19" s="71"/>
      <c r="F19" s="66">
        <f t="shared" si="8"/>
        <v>0</v>
      </c>
      <c r="G19" s="67">
        <f t="shared" si="9"/>
        <v>0</v>
      </c>
      <c r="H19" s="66"/>
      <c r="I19" s="67"/>
      <c r="J19" s="66"/>
      <c r="K19" s="67"/>
      <c r="L19" s="66"/>
      <c r="M19" s="67"/>
      <c r="N19" s="66"/>
      <c r="O19" s="67"/>
      <c r="P19" s="66"/>
      <c r="Q19" s="67"/>
      <c r="R19" s="66"/>
      <c r="S19" s="67"/>
      <c r="T19" s="66"/>
      <c r="U19" s="67"/>
      <c r="V19" s="73"/>
      <c r="W19" s="64"/>
      <c r="Y19" s="64"/>
    </row>
    <row r="20" spans="2:25">
      <c r="B20" s="70"/>
      <c r="C20" s="70"/>
      <c r="D20" s="70"/>
      <c r="E20" s="71"/>
      <c r="F20" s="66">
        <f t="shared" si="8"/>
        <v>0</v>
      </c>
      <c r="G20" s="67">
        <f t="shared" si="9"/>
        <v>0</v>
      </c>
      <c r="H20" s="66"/>
      <c r="I20" s="67"/>
      <c r="J20" s="66"/>
      <c r="K20" s="67"/>
      <c r="L20" s="66"/>
      <c r="M20" s="67"/>
      <c r="N20" s="66"/>
      <c r="O20" s="67"/>
      <c r="P20" s="66"/>
      <c r="Q20" s="67"/>
      <c r="R20" s="66"/>
      <c r="S20" s="67"/>
      <c r="T20" s="66"/>
      <c r="U20" s="67"/>
      <c r="V20" s="73"/>
      <c r="W20" s="64"/>
      <c r="Y20" s="64"/>
    </row>
    <row r="21" spans="2:25" ht="14.25" thickBot="1">
      <c r="B21" s="70"/>
      <c r="C21" s="70"/>
      <c r="D21" s="70"/>
      <c r="E21" s="71"/>
      <c r="F21" s="68">
        <f t="shared" si="8"/>
        <v>0</v>
      </c>
      <c r="G21" s="69">
        <f t="shared" si="9"/>
        <v>0</v>
      </c>
      <c r="H21" s="68"/>
      <c r="I21" s="69"/>
      <c r="J21" s="68"/>
      <c r="K21" s="69"/>
      <c r="L21" s="68"/>
      <c r="M21" s="69"/>
      <c r="N21" s="68"/>
      <c r="O21" s="69"/>
      <c r="P21" s="68"/>
      <c r="Q21" s="69"/>
      <c r="R21" s="68"/>
      <c r="S21" s="69"/>
      <c r="T21" s="68"/>
      <c r="U21" s="69"/>
      <c r="V21" s="73"/>
      <c r="W21" s="65"/>
      <c r="Y21" s="65"/>
    </row>
    <row r="23" spans="2:25">
      <c r="D23" s="8" t="s">
        <v>140</v>
      </c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W23" s="11"/>
      <c r="Y23" s="11"/>
    </row>
    <row r="24" spans="2:25" ht="14.25" thickBot="1">
      <c r="E24" s="27"/>
      <c r="F24" s="27"/>
      <c r="G24" s="27"/>
      <c r="H24" s="27"/>
      <c r="I24" s="27"/>
      <c r="J24" s="27"/>
      <c r="K24" s="27"/>
      <c r="L24" s="27"/>
      <c r="M24" s="27"/>
      <c r="N24" s="7"/>
      <c r="O24" s="7"/>
      <c r="P24" s="7"/>
      <c r="R24" s="7"/>
      <c r="T24" s="7"/>
    </row>
    <row r="25" spans="2:25" ht="17.649999999999999" customHeight="1">
      <c r="B25" s="14" t="s">
        <v>55</v>
      </c>
      <c r="C25" s="15" t="s">
        <v>42</v>
      </c>
      <c r="D25" s="15" t="s">
        <v>28</v>
      </c>
      <c r="E25" s="47" t="s">
        <v>26</v>
      </c>
      <c r="F25" s="320" t="s">
        <v>159</v>
      </c>
      <c r="G25" s="321"/>
      <c r="H25" s="320" t="s">
        <v>60</v>
      </c>
      <c r="I25" s="321"/>
      <c r="J25" s="320" t="s">
        <v>76</v>
      </c>
      <c r="K25" s="321"/>
      <c r="L25" s="320" t="s">
        <v>61</v>
      </c>
      <c r="M25" s="321"/>
      <c r="N25" s="320" t="s">
        <v>137</v>
      </c>
      <c r="O25" s="321"/>
      <c r="P25" s="320" t="s">
        <v>138</v>
      </c>
      <c r="Q25" s="321"/>
      <c r="R25" s="320" t="s">
        <v>138</v>
      </c>
      <c r="S25" s="321"/>
      <c r="T25" s="320" t="s">
        <v>138</v>
      </c>
      <c r="U25" s="321"/>
      <c r="W25" s="17" t="s">
        <v>144</v>
      </c>
      <c r="Y25" s="17" t="s">
        <v>141</v>
      </c>
    </row>
    <row r="26" spans="2:25">
      <c r="B26" s="14"/>
      <c r="C26" s="15"/>
      <c r="D26" s="15"/>
      <c r="E26" s="47"/>
      <c r="F26" s="53" t="s">
        <v>146</v>
      </c>
      <c r="G26" s="59" t="s">
        <v>147</v>
      </c>
      <c r="H26" s="53" t="s">
        <v>146</v>
      </c>
      <c r="I26" s="59" t="s">
        <v>147</v>
      </c>
      <c r="J26" s="53" t="s">
        <v>146</v>
      </c>
      <c r="K26" s="59" t="s">
        <v>147</v>
      </c>
      <c r="L26" s="53" t="s">
        <v>146</v>
      </c>
      <c r="M26" s="59" t="s">
        <v>147</v>
      </c>
      <c r="N26" s="53" t="s">
        <v>146</v>
      </c>
      <c r="O26" s="59" t="s">
        <v>147</v>
      </c>
      <c r="P26" s="53" t="s">
        <v>146</v>
      </c>
      <c r="Q26" s="59" t="s">
        <v>147</v>
      </c>
      <c r="R26" s="53" t="s">
        <v>146</v>
      </c>
      <c r="S26" s="59" t="s">
        <v>147</v>
      </c>
      <c r="T26" s="53" t="s">
        <v>146</v>
      </c>
      <c r="U26" s="59" t="s">
        <v>147</v>
      </c>
      <c r="W26" s="59" t="s">
        <v>147</v>
      </c>
      <c r="Y26" s="53" t="s">
        <v>146</v>
      </c>
    </row>
    <row r="27" spans="2:25">
      <c r="B27" s="311" t="s">
        <v>163</v>
      </c>
      <c r="C27" s="314">
        <v>43308</v>
      </c>
      <c r="D27" s="317">
        <v>1098.8235048381839</v>
      </c>
      <c r="E27" s="48" t="s">
        <v>148</v>
      </c>
      <c r="F27" s="50">
        <f t="shared" ref="F27:F36" si="10">H27+J27+L27+N27+P27+Y27+R27+T27</f>
        <v>500000</v>
      </c>
      <c r="G27" s="56">
        <f t="shared" ref="G27:G36" si="11">I27+K27+M27+O27+Q27+W27+S27+U27</f>
        <v>131111174</v>
      </c>
      <c r="H27" s="50">
        <v>100000</v>
      </c>
      <c r="I27" s="56">
        <f>ROUND(I4/$D$27,0)</f>
        <v>29632648</v>
      </c>
      <c r="J27" s="50">
        <v>100000</v>
      </c>
      <c r="K27" s="56">
        <f>ROUND(K4/$D$27,0)</f>
        <v>20141196</v>
      </c>
      <c r="L27" s="50">
        <v>100000</v>
      </c>
      <c r="M27" s="56">
        <f>ROUND(M4/$D$27,0)</f>
        <v>21523183</v>
      </c>
      <c r="N27" s="50">
        <v>100000</v>
      </c>
      <c r="O27" s="56">
        <f>ROUND(O4/$D$27,0)</f>
        <v>25724473</v>
      </c>
      <c r="P27" s="50">
        <v>100000</v>
      </c>
      <c r="Q27" s="56">
        <f>ROUND(Q4/$D$27,0)</f>
        <v>21793332</v>
      </c>
      <c r="R27" s="50"/>
      <c r="S27" s="56"/>
      <c r="T27" s="50"/>
      <c r="U27" s="56"/>
      <c r="W27" s="57">
        <f>ROUND(W4/$D$27,0)</f>
        <v>12296342</v>
      </c>
      <c r="Y27" s="12"/>
    </row>
    <row r="28" spans="2:25">
      <c r="B28" s="312"/>
      <c r="C28" s="315"/>
      <c r="D28" s="318"/>
      <c r="E28" s="48" t="s">
        <v>149</v>
      </c>
      <c r="F28" s="50">
        <f t="shared" si="10"/>
        <v>0</v>
      </c>
      <c r="G28" s="56">
        <f t="shared" si="11"/>
        <v>1057096</v>
      </c>
      <c r="H28" s="50"/>
      <c r="I28" s="56">
        <f>ROUND(I5/$D$27,0)</f>
        <v>0</v>
      </c>
      <c r="J28" s="50"/>
      <c r="K28" s="56">
        <f>ROUND(K5/$D$27,0)</f>
        <v>651970</v>
      </c>
      <c r="L28" s="50"/>
      <c r="M28" s="56">
        <f>ROUND(M5/$D$27,0)</f>
        <v>0</v>
      </c>
      <c r="N28" s="50"/>
      <c r="O28" s="56">
        <f>ROUND(O5/$D$27,0)</f>
        <v>0</v>
      </c>
      <c r="P28" s="50"/>
      <c r="Q28" s="56">
        <f>ROUND(Q5/$D$27,0)</f>
        <v>0</v>
      </c>
      <c r="R28" s="50"/>
      <c r="S28" s="56"/>
      <c r="T28" s="50"/>
      <c r="U28" s="56"/>
      <c r="W28" s="57">
        <f>ROUND(W5/$D$27,0)</f>
        <v>405126</v>
      </c>
      <c r="Y28" s="12"/>
    </row>
    <row r="29" spans="2:25">
      <c r="B29" s="313"/>
      <c r="C29" s="316"/>
      <c r="D29" s="319"/>
      <c r="E29" s="48" t="s">
        <v>150</v>
      </c>
      <c r="F29" s="50">
        <f t="shared" si="10"/>
        <v>0</v>
      </c>
      <c r="G29" s="56">
        <f t="shared" si="11"/>
        <v>2368534</v>
      </c>
      <c r="H29" s="50"/>
      <c r="I29" s="56">
        <f>ROUND(I6/$D$27,0)</f>
        <v>458672</v>
      </c>
      <c r="J29" s="50"/>
      <c r="K29" s="56">
        <f>ROUND(K6/$D$27,0)</f>
        <v>286670</v>
      </c>
      <c r="L29" s="50"/>
      <c r="M29" s="56">
        <f>ROUND(M6/$D$27,0)</f>
        <v>419358</v>
      </c>
      <c r="N29" s="50"/>
      <c r="O29" s="56">
        <f>ROUND(O6/$D$27,0)</f>
        <v>362024</v>
      </c>
      <c r="P29" s="50"/>
      <c r="Q29" s="56">
        <f>ROUND(Q6/$D$27,0)</f>
        <v>532388</v>
      </c>
      <c r="R29" s="50"/>
      <c r="S29" s="56"/>
      <c r="T29" s="50"/>
      <c r="U29" s="56"/>
      <c r="W29" s="57">
        <f>ROUND(W6/$D$27,0)</f>
        <v>309422</v>
      </c>
      <c r="Y29" s="12"/>
    </row>
    <row r="30" spans="2:25" ht="27">
      <c r="B30" s="10" t="s">
        <v>154</v>
      </c>
      <c r="C30" s="2">
        <v>43326</v>
      </c>
      <c r="D30" s="3"/>
      <c r="E30" s="85" t="s">
        <v>155</v>
      </c>
      <c r="F30" s="50">
        <f t="shared" si="10"/>
        <v>1200000</v>
      </c>
      <c r="G30" s="56">
        <f t="shared" si="11"/>
        <v>0</v>
      </c>
      <c r="H30" s="50"/>
      <c r="I30" s="56"/>
      <c r="J30" s="50"/>
      <c r="K30" s="56"/>
      <c r="L30" s="50"/>
      <c r="M30" s="56"/>
      <c r="N30" s="50"/>
      <c r="O30" s="56"/>
      <c r="P30" s="50"/>
      <c r="Q30" s="56"/>
      <c r="R30" s="50"/>
      <c r="S30" s="56"/>
      <c r="T30" s="50"/>
      <c r="U30" s="56"/>
      <c r="W30" s="57"/>
      <c r="Y30" s="12">
        <v>1200000</v>
      </c>
    </row>
    <row r="31" spans="2:25">
      <c r="B31" s="10"/>
      <c r="C31" s="2">
        <v>43418</v>
      </c>
      <c r="D31" s="3"/>
      <c r="E31" s="85"/>
      <c r="F31" s="50"/>
      <c r="G31" s="56"/>
      <c r="H31" s="50"/>
      <c r="I31" s="56"/>
      <c r="J31" s="50"/>
      <c r="K31" s="56"/>
      <c r="L31" s="50"/>
      <c r="M31" s="56"/>
      <c r="N31" s="50"/>
      <c r="O31" s="56"/>
      <c r="P31" s="50"/>
      <c r="Q31" s="56"/>
      <c r="R31" s="50"/>
      <c r="S31" s="56"/>
      <c r="T31" s="50"/>
      <c r="U31" s="56"/>
      <c r="W31" s="57"/>
      <c r="Y31" s="12"/>
    </row>
    <row r="32" spans="2:25">
      <c r="B32" s="101" t="s">
        <v>198</v>
      </c>
      <c r="C32" s="2">
        <v>43451</v>
      </c>
      <c r="D32" s="3"/>
      <c r="E32" s="48" t="s">
        <v>199</v>
      </c>
      <c r="F32" s="50">
        <f t="shared" si="10"/>
        <v>267809.31976432778</v>
      </c>
      <c r="G32" s="56">
        <f t="shared" si="11"/>
        <v>0</v>
      </c>
      <c r="H32" s="50"/>
      <c r="I32" s="56"/>
      <c r="J32" s="50"/>
      <c r="K32" s="56"/>
      <c r="L32" s="50"/>
      <c r="M32" s="56"/>
      <c r="N32" s="50"/>
      <c r="O32" s="56"/>
      <c r="P32" s="50"/>
      <c r="Q32" s="56"/>
      <c r="R32" s="50"/>
      <c r="S32" s="56"/>
      <c r="T32" s="50"/>
      <c r="U32" s="56"/>
      <c r="W32" s="57"/>
      <c r="Y32" s="12">
        <v>267809.31976432778</v>
      </c>
    </row>
    <row r="33" spans="2:25">
      <c r="B33" s="5"/>
      <c r="C33" s="2">
        <v>43584</v>
      </c>
      <c r="D33" s="3"/>
      <c r="E33" s="48" t="s">
        <v>244</v>
      </c>
      <c r="F33" s="50">
        <f t="shared" si="10"/>
        <v>259090</v>
      </c>
      <c r="G33" s="56">
        <f t="shared" si="11"/>
        <v>0</v>
      </c>
      <c r="H33" s="50"/>
      <c r="I33" s="56"/>
      <c r="J33" s="50"/>
      <c r="K33" s="56"/>
      <c r="L33" s="50"/>
      <c r="M33" s="56"/>
      <c r="N33" s="50"/>
      <c r="O33" s="56"/>
      <c r="P33" s="50"/>
      <c r="Q33" s="56"/>
      <c r="R33" s="50"/>
      <c r="S33" s="56"/>
      <c r="T33" s="50"/>
      <c r="U33" s="56"/>
      <c r="W33" s="57"/>
      <c r="Y33" s="12">
        <v>259090</v>
      </c>
    </row>
    <row r="34" spans="2:25">
      <c r="B34" s="5"/>
      <c r="C34" s="2">
        <v>43594</v>
      </c>
      <c r="D34" s="3"/>
      <c r="E34" s="48" t="s">
        <v>245</v>
      </c>
      <c r="F34" s="50">
        <f t="shared" si="10"/>
        <v>256257</v>
      </c>
      <c r="G34" s="56">
        <f t="shared" si="11"/>
        <v>0</v>
      </c>
      <c r="H34" s="50"/>
      <c r="I34" s="56"/>
      <c r="J34" s="50"/>
      <c r="K34" s="56"/>
      <c r="L34" s="50"/>
      <c r="M34" s="56"/>
      <c r="N34" s="50"/>
      <c r="O34" s="56"/>
      <c r="P34" s="50"/>
      <c r="Q34" s="56"/>
      <c r="R34" s="50"/>
      <c r="S34" s="56"/>
      <c r="T34" s="50"/>
      <c r="U34" s="56"/>
      <c r="W34" s="57"/>
      <c r="Y34" s="12">
        <v>256257</v>
      </c>
    </row>
    <row r="35" spans="2:25" ht="13.5" customHeight="1">
      <c r="B35" s="5"/>
      <c r="C35" s="2"/>
      <c r="D35" s="3"/>
      <c r="E35" s="48"/>
      <c r="F35" s="50">
        <f t="shared" si="10"/>
        <v>0</v>
      </c>
      <c r="G35" s="56">
        <f t="shared" si="11"/>
        <v>0</v>
      </c>
      <c r="H35" s="50"/>
      <c r="I35" s="56"/>
      <c r="J35" s="50"/>
      <c r="K35" s="56"/>
      <c r="L35" s="50"/>
      <c r="M35" s="56"/>
      <c r="N35" s="50"/>
      <c r="O35" s="56"/>
      <c r="P35" s="50"/>
      <c r="Q35" s="56"/>
      <c r="R35" s="50"/>
      <c r="S35" s="56"/>
      <c r="T35" s="50"/>
      <c r="U35" s="56"/>
      <c r="W35" s="57"/>
      <c r="Y35" s="12"/>
    </row>
    <row r="36" spans="2:25" ht="15" customHeight="1">
      <c r="B36" s="5"/>
      <c r="C36" s="2"/>
      <c r="D36" s="3"/>
      <c r="E36" s="48"/>
      <c r="F36" s="50">
        <f t="shared" si="10"/>
        <v>0</v>
      </c>
      <c r="G36" s="56">
        <f t="shared" si="11"/>
        <v>0</v>
      </c>
      <c r="H36" s="50"/>
      <c r="I36" s="56"/>
      <c r="J36" s="50"/>
      <c r="K36" s="56"/>
      <c r="L36" s="50"/>
      <c r="M36" s="56"/>
      <c r="N36" s="50"/>
      <c r="O36" s="56"/>
      <c r="P36" s="50"/>
      <c r="Q36" s="56"/>
      <c r="R36" s="50"/>
      <c r="S36" s="56"/>
      <c r="T36" s="50"/>
      <c r="U36" s="56"/>
      <c r="W36" s="57"/>
      <c r="Y36" s="12"/>
    </row>
    <row r="37" spans="2:25">
      <c r="B37" s="22" t="s">
        <v>27</v>
      </c>
      <c r="C37" s="22"/>
      <c r="D37" s="22" t="s">
        <v>50</v>
      </c>
      <c r="E37" s="39">
        <f>SUM(H37:Q37)</f>
        <v>122025914</v>
      </c>
      <c r="F37" s="54">
        <f t="shared" ref="F37:G37" si="12">SUM(F27:F36)</f>
        <v>2483156.3197643277</v>
      </c>
      <c r="G37" s="55">
        <f t="shared" si="12"/>
        <v>134536804</v>
      </c>
      <c r="H37" s="54">
        <f t="shared" ref="H37:Q37" si="13">SUM(H27:H36)</f>
        <v>100000</v>
      </c>
      <c r="I37" s="55">
        <f t="shared" si="13"/>
        <v>30091320</v>
      </c>
      <c r="J37" s="54">
        <f t="shared" si="13"/>
        <v>100000</v>
      </c>
      <c r="K37" s="55">
        <f t="shared" si="13"/>
        <v>21079836</v>
      </c>
      <c r="L37" s="54">
        <f t="shared" si="13"/>
        <v>100000</v>
      </c>
      <c r="M37" s="55">
        <f t="shared" si="13"/>
        <v>21942541</v>
      </c>
      <c r="N37" s="54">
        <f t="shared" si="13"/>
        <v>100000</v>
      </c>
      <c r="O37" s="55">
        <f t="shared" si="13"/>
        <v>26086497</v>
      </c>
      <c r="P37" s="54">
        <f t="shared" si="13"/>
        <v>100000</v>
      </c>
      <c r="Q37" s="55">
        <f t="shared" si="13"/>
        <v>22325720</v>
      </c>
      <c r="R37" s="54">
        <f t="shared" ref="R37:S37" si="14">SUM(R27:R36)</f>
        <v>0</v>
      </c>
      <c r="S37" s="55">
        <f t="shared" si="14"/>
        <v>0</v>
      </c>
      <c r="T37" s="54">
        <f t="shared" ref="T37:U37" si="15">SUM(T27:T36)</f>
        <v>0</v>
      </c>
      <c r="U37" s="55">
        <f t="shared" si="15"/>
        <v>0</v>
      </c>
      <c r="W37" s="23">
        <f>SUM(W27:W36)</f>
        <v>13010890</v>
      </c>
      <c r="Y37" s="23">
        <f>SUM(Y27:Y36)</f>
        <v>1983156.3197643277</v>
      </c>
    </row>
    <row r="38" spans="2:25">
      <c r="B38" s="60" t="s">
        <v>156</v>
      </c>
      <c r="C38" s="60"/>
      <c r="D38" s="60"/>
      <c r="E38" s="61"/>
      <c r="F38" s="86"/>
      <c r="G38" s="63"/>
      <c r="H38" s="86"/>
      <c r="I38" s="63"/>
      <c r="J38" s="86"/>
      <c r="K38" s="63"/>
      <c r="L38" s="86"/>
      <c r="M38" s="63"/>
      <c r="N38" s="86"/>
      <c r="O38" s="63"/>
      <c r="P38" s="86"/>
      <c r="Q38" s="63"/>
      <c r="R38" s="86"/>
      <c r="S38" s="63"/>
      <c r="T38" s="86"/>
      <c r="U38" s="63"/>
      <c r="W38" s="72"/>
      <c r="Y38" s="72"/>
    </row>
    <row r="39" spans="2:25" ht="14.25" thickBot="1">
      <c r="B39" s="76" t="s">
        <v>151</v>
      </c>
      <c r="C39" s="77" t="s">
        <v>152</v>
      </c>
      <c r="D39" s="78"/>
      <c r="E39" s="79"/>
      <c r="F39" s="88">
        <f>F37-F38</f>
        <v>2483156.3197643277</v>
      </c>
      <c r="G39" s="89"/>
      <c r="H39" s="88">
        <f>H37-H38</f>
        <v>100000</v>
      </c>
      <c r="I39" s="89"/>
      <c r="J39" s="88">
        <f>J37-J38</f>
        <v>100000</v>
      </c>
      <c r="K39" s="89"/>
      <c r="L39" s="88">
        <f>L37-L38</f>
        <v>100000</v>
      </c>
      <c r="M39" s="89"/>
      <c r="N39" s="88">
        <f>N37-N38</f>
        <v>100000</v>
      </c>
      <c r="O39" s="89"/>
      <c r="P39" s="88">
        <f>P37-P38</f>
        <v>100000</v>
      </c>
      <c r="Q39" s="89"/>
      <c r="R39" s="88">
        <f>R37-R38</f>
        <v>0</v>
      </c>
      <c r="S39" s="89"/>
      <c r="T39" s="88">
        <f>T37-T38</f>
        <v>0</v>
      </c>
      <c r="U39" s="89"/>
      <c r="V39" s="82"/>
      <c r="W39" s="96"/>
      <c r="Y39" s="80">
        <f>Y37-Y38</f>
        <v>1983156.3197643277</v>
      </c>
    </row>
    <row r="40" spans="2:25">
      <c r="B40" s="74" t="s">
        <v>153</v>
      </c>
      <c r="C40" s="84">
        <v>43308</v>
      </c>
      <c r="D40" s="74">
        <v>1098.8235048381839</v>
      </c>
      <c r="E40" s="75" t="s">
        <v>162</v>
      </c>
      <c r="F40" s="90">
        <f t="shared" ref="F40:F44" si="16">H40+J40+L40+N40+P40+Y40+R40+T40</f>
        <v>12701648</v>
      </c>
      <c r="G40" s="91">
        <f t="shared" ref="G40:G44" si="17">I40+K40+M40+O40+Q40+W40+S40+U40</f>
        <v>0</v>
      </c>
      <c r="H40" s="90">
        <f>ROUND(H17/$D$40,0)</f>
        <v>3192516</v>
      </c>
      <c r="I40" s="91"/>
      <c r="J40" s="90">
        <f>ROUND(J17/$D$40,0)</f>
        <v>2137911</v>
      </c>
      <c r="K40" s="91"/>
      <c r="L40" s="90">
        <f>ROUND(L17/$D$40,0)</f>
        <v>2291465</v>
      </c>
      <c r="M40" s="91"/>
      <c r="N40" s="90">
        <f>ROUND(N17/$D$40,0)</f>
        <v>2758275</v>
      </c>
      <c r="O40" s="91"/>
      <c r="P40" s="90">
        <f>ROUND(P17/$D$40,0)</f>
        <v>2321481</v>
      </c>
      <c r="Q40" s="91"/>
      <c r="R40" s="90"/>
      <c r="S40" s="91"/>
      <c r="T40" s="90"/>
      <c r="U40" s="91"/>
      <c r="V40" s="73"/>
      <c r="W40" s="97"/>
      <c r="Y40" s="87"/>
    </row>
    <row r="41" spans="2:25" ht="15.6" customHeight="1">
      <c r="B41" s="70" t="s">
        <v>158</v>
      </c>
      <c r="C41" s="100">
        <v>43326</v>
      </c>
      <c r="D41" s="70"/>
      <c r="E41" s="71" t="s">
        <v>157</v>
      </c>
      <c r="F41" s="92">
        <f t="shared" si="16"/>
        <v>300000</v>
      </c>
      <c r="G41" s="93">
        <f t="shared" si="17"/>
        <v>0</v>
      </c>
      <c r="H41" s="92"/>
      <c r="I41" s="93"/>
      <c r="J41" s="92"/>
      <c r="K41" s="93"/>
      <c r="L41" s="92"/>
      <c r="M41" s="93"/>
      <c r="N41" s="92"/>
      <c r="O41" s="93"/>
      <c r="P41" s="92"/>
      <c r="Q41" s="93"/>
      <c r="R41" s="92"/>
      <c r="S41" s="93"/>
      <c r="T41" s="92"/>
      <c r="U41" s="93"/>
      <c r="V41" s="73"/>
      <c r="W41" s="98"/>
      <c r="Y41" s="87">
        <v>300000</v>
      </c>
    </row>
    <row r="42" spans="2:25">
      <c r="B42" s="70"/>
      <c r="C42" s="70"/>
      <c r="D42" s="70"/>
      <c r="E42" s="71"/>
      <c r="F42" s="92">
        <f t="shared" si="16"/>
        <v>0</v>
      </c>
      <c r="G42" s="93">
        <f t="shared" si="17"/>
        <v>0</v>
      </c>
      <c r="H42" s="92"/>
      <c r="I42" s="93"/>
      <c r="J42" s="92"/>
      <c r="K42" s="93"/>
      <c r="L42" s="92"/>
      <c r="M42" s="93"/>
      <c r="N42" s="92"/>
      <c r="O42" s="93"/>
      <c r="P42" s="92"/>
      <c r="Q42" s="93"/>
      <c r="R42" s="92"/>
      <c r="S42" s="93"/>
      <c r="T42" s="92"/>
      <c r="U42" s="93"/>
      <c r="V42" s="73"/>
      <c r="W42" s="98"/>
      <c r="Y42" s="87"/>
    </row>
    <row r="43" spans="2:25">
      <c r="B43" s="70"/>
      <c r="C43" s="70"/>
      <c r="D43" s="70"/>
      <c r="E43" s="71"/>
      <c r="F43" s="92">
        <f t="shared" si="16"/>
        <v>0</v>
      </c>
      <c r="G43" s="93">
        <f t="shared" si="17"/>
        <v>0</v>
      </c>
      <c r="H43" s="92"/>
      <c r="I43" s="93"/>
      <c r="J43" s="92"/>
      <c r="K43" s="93"/>
      <c r="L43" s="92"/>
      <c r="M43" s="93"/>
      <c r="N43" s="92"/>
      <c r="O43" s="93"/>
      <c r="P43" s="92"/>
      <c r="Q43" s="93"/>
      <c r="R43" s="92"/>
      <c r="S43" s="93"/>
      <c r="T43" s="92"/>
      <c r="U43" s="93"/>
      <c r="V43" s="73"/>
      <c r="W43" s="98"/>
      <c r="Y43" s="87"/>
    </row>
    <row r="44" spans="2:25" ht="14.25" thickBot="1">
      <c r="B44" s="70"/>
      <c r="C44" s="70"/>
      <c r="D44" s="70"/>
      <c r="E44" s="71"/>
      <c r="F44" s="94">
        <f t="shared" si="16"/>
        <v>0</v>
      </c>
      <c r="G44" s="95">
        <f t="shared" si="17"/>
        <v>0</v>
      </c>
      <c r="H44" s="94"/>
      <c r="I44" s="95"/>
      <c r="J44" s="94"/>
      <c r="K44" s="95"/>
      <c r="L44" s="94"/>
      <c r="M44" s="95"/>
      <c r="N44" s="94"/>
      <c r="O44" s="95"/>
      <c r="P44" s="94"/>
      <c r="Q44" s="95"/>
      <c r="R44" s="94"/>
      <c r="S44" s="95"/>
      <c r="T44" s="94"/>
      <c r="U44" s="95"/>
      <c r="V44" s="73"/>
      <c r="W44" s="99"/>
      <c r="Y44" s="87"/>
    </row>
    <row r="45" spans="2:25" ht="27.75" customHeight="1">
      <c r="F45" s="35"/>
      <c r="G45" s="42"/>
      <c r="H45" s="35"/>
      <c r="I45" s="42"/>
      <c r="J45" s="58"/>
      <c r="K45" s="58"/>
      <c r="L45" s="7"/>
      <c r="M45" s="7"/>
      <c r="N45" s="7"/>
      <c r="O45" s="7"/>
      <c r="P45" s="7"/>
      <c r="Q45" s="7"/>
      <c r="R45" s="7"/>
      <c r="S45" s="7"/>
      <c r="T45" s="7"/>
      <c r="U45" s="7"/>
      <c r="W45" s="7"/>
      <c r="Y45" s="7"/>
    </row>
    <row r="46" spans="2:25">
      <c r="D46" s="8" t="s">
        <v>139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7"/>
      <c r="U46" s="7"/>
      <c r="W46" s="11"/>
      <c r="Y46" s="11"/>
    </row>
  </sheetData>
  <mergeCells count="24">
    <mergeCell ref="R2:S2"/>
    <mergeCell ref="R25:S25"/>
    <mergeCell ref="T2:U2"/>
    <mergeCell ref="T25:U25"/>
    <mergeCell ref="C7:C9"/>
    <mergeCell ref="N2:O2"/>
    <mergeCell ref="P2:Q2"/>
    <mergeCell ref="H25:I25"/>
    <mergeCell ref="J25:K25"/>
    <mergeCell ref="L25:M25"/>
    <mergeCell ref="N25:O25"/>
    <mergeCell ref="P25:Q25"/>
    <mergeCell ref="H2:I2"/>
    <mergeCell ref="B27:B29"/>
    <mergeCell ref="C27:C29"/>
    <mergeCell ref="D27:D29"/>
    <mergeCell ref="J2:K2"/>
    <mergeCell ref="L2:M2"/>
    <mergeCell ref="F2:G2"/>
    <mergeCell ref="F25:G25"/>
    <mergeCell ref="B4:B6"/>
    <mergeCell ref="C4:C6"/>
    <mergeCell ref="D4:D6"/>
    <mergeCell ref="B7:B9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>
      <selection activeCell="C8" sqref="C8"/>
    </sheetView>
  </sheetViews>
  <sheetFormatPr defaultRowHeight="16.5"/>
  <cols>
    <col min="1" max="1" width="4.25" customWidth="1"/>
    <col min="2" max="2" width="13" customWidth="1"/>
    <col min="3" max="4" width="15.125" customWidth="1"/>
    <col min="5" max="5" width="15.25" bestFit="1" customWidth="1"/>
    <col min="7" max="7" width="13.75" customWidth="1"/>
    <col min="9" max="9" width="11.125" customWidth="1"/>
    <col min="10" max="10" width="16" customWidth="1"/>
    <col min="11" max="11" width="13.75" customWidth="1"/>
  </cols>
  <sheetData>
    <row r="1" spans="1:11">
      <c r="I1" t="s">
        <v>110</v>
      </c>
    </row>
    <row r="2" spans="1:11">
      <c r="B2" s="36"/>
      <c r="C2" s="36" t="s">
        <v>109</v>
      </c>
      <c r="D2" s="36" t="s">
        <v>108</v>
      </c>
      <c r="E2" s="36" t="s">
        <v>103</v>
      </c>
      <c r="F2" s="36" t="s">
        <v>104</v>
      </c>
      <c r="G2" s="36" t="s">
        <v>105</v>
      </c>
      <c r="I2" s="36"/>
      <c r="J2" s="36" t="s">
        <v>103</v>
      </c>
      <c r="K2" s="36" t="s">
        <v>105</v>
      </c>
    </row>
    <row r="3" spans="1:11">
      <c r="A3" t="s">
        <v>124</v>
      </c>
      <c r="B3" s="36" t="s">
        <v>61</v>
      </c>
      <c r="C3" s="37">
        <v>43140</v>
      </c>
      <c r="D3" s="37">
        <v>43140</v>
      </c>
      <c r="E3" s="38">
        <v>25752869000</v>
      </c>
      <c r="F3" s="36"/>
      <c r="G3" s="38">
        <v>23691428</v>
      </c>
      <c r="I3" s="36" t="s">
        <v>102</v>
      </c>
      <c r="J3" s="38">
        <f>SUMIF($B$3:$B$14,I3,$E$3:$E$15)</f>
        <v>25752869000</v>
      </c>
      <c r="K3" s="38">
        <f>SUMIF($B$3:$B$12,I3,$G$3:$G$12)</f>
        <v>23691428</v>
      </c>
    </row>
    <row r="4" spans="1:11">
      <c r="A4" t="s">
        <v>123</v>
      </c>
      <c r="B4" s="36" t="s">
        <v>107</v>
      </c>
      <c r="C4" s="37">
        <v>43181</v>
      </c>
      <c r="D4" s="37">
        <v>43192</v>
      </c>
      <c r="E4" s="38">
        <v>1800000000</v>
      </c>
      <c r="F4" s="36">
        <v>1072</v>
      </c>
      <c r="G4" s="38">
        <f>ROUND(E4/F4,0)</f>
        <v>1679104</v>
      </c>
      <c r="I4" s="36" t="s">
        <v>106</v>
      </c>
      <c r="J4" s="38">
        <f>SUMIF($B$3:$B$14,I4,$E$3:$E$15)</f>
        <v>1800000000</v>
      </c>
      <c r="K4" s="38">
        <f>SUMIF($B$3:$B$12,I4,$G$3:$G$12)</f>
        <v>1679104</v>
      </c>
    </row>
    <row r="5" spans="1:11">
      <c r="A5" t="s">
        <v>122</v>
      </c>
      <c r="B5" s="36" t="s">
        <v>115</v>
      </c>
      <c r="C5" s="37">
        <v>43181</v>
      </c>
      <c r="D5" s="37">
        <v>43186</v>
      </c>
      <c r="E5" s="38">
        <v>21077913000</v>
      </c>
      <c r="F5" s="36">
        <v>1072</v>
      </c>
      <c r="G5" s="38">
        <f>ROUND(E5/F5,0)</f>
        <v>19662232</v>
      </c>
      <c r="I5" s="36" t="s">
        <v>115</v>
      </c>
      <c r="J5" s="38">
        <f>SUMIF($B$3:$B$14,I5,$E$3:$E$15)</f>
        <v>21077913000</v>
      </c>
      <c r="K5" s="38">
        <f>SUMIF($B$3:$B$12,I5,$G$3:$G$12)</f>
        <v>19662232</v>
      </c>
    </row>
    <row r="6" spans="1:11">
      <c r="A6" t="s">
        <v>121</v>
      </c>
      <c r="B6" s="36" t="s">
        <v>120</v>
      </c>
      <c r="C6" s="37">
        <v>43206</v>
      </c>
      <c r="D6" s="37">
        <v>43208</v>
      </c>
      <c r="E6" s="38">
        <v>31837578900</v>
      </c>
      <c r="F6" s="36">
        <v>1070</v>
      </c>
      <c r="G6" s="38">
        <f>ROUND(E6/F6,0)</f>
        <v>29754747</v>
      </c>
      <c r="I6" s="36" t="s">
        <v>120</v>
      </c>
      <c r="J6" s="38">
        <f>SUMIF($B$3:$B$14,I6,$E$3:$E$15)</f>
        <v>31837578900</v>
      </c>
      <c r="K6" s="38">
        <f>SUMIF($B$3:$B$12,I6,$G$3:$G$12)</f>
        <v>29754747</v>
      </c>
    </row>
    <row r="7" spans="1:11">
      <c r="B7" s="36"/>
      <c r="C7" s="36"/>
      <c r="D7" s="36"/>
      <c r="E7" s="36"/>
      <c r="F7" s="36"/>
      <c r="G7" s="36"/>
      <c r="I7" s="36"/>
      <c r="J7" s="36"/>
      <c r="K7" s="36"/>
    </row>
    <row r="8" spans="1:11">
      <c r="B8" s="36"/>
      <c r="C8" s="36"/>
      <c r="D8" s="36"/>
      <c r="E8" s="36"/>
      <c r="F8" s="36"/>
      <c r="G8" s="36"/>
      <c r="I8" s="36"/>
      <c r="J8" s="36"/>
      <c r="K8" s="36"/>
    </row>
    <row r="9" spans="1:11">
      <c r="I9" s="36"/>
      <c r="J9" s="36"/>
      <c r="K9" s="36"/>
    </row>
    <row r="10" spans="1:11">
      <c r="I10" s="36"/>
      <c r="J10" s="36"/>
      <c r="K10" s="36"/>
    </row>
    <row r="11" spans="1:11">
      <c r="I11" s="36"/>
      <c r="J11" s="36"/>
      <c r="K11" s="3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1:AP391"/>
  <sheetViews>
    <sheetView topLeftCell="A340" zoomScale="85" zoomScaleNormal="85" workbookViewId="0">
      <selection activeCell="U363" sqref="U363"/>
    </sheetView>
  </sheetViews>
  <sheetFormatPr defaultColWidth="8.75" defaultRowHeight="13.5"/>
  <cols>
    <col min="1" max="1" width="1.25" style="6" customWidth="1"/>
    <col min="2" max="2" width="25.625" style="6" customWidth="1"/>
    <col min="3" max="3" width="18.75" style="6" customWidth="1"/>
    <col min="4" max="4" width="9.625" style="6" customWidth="1"/>
    <col min="5" max="5" width="79.625" style="6" bestFit="1" customWidth="1"/>
    <col min="6" max="6" width="17.25" style="6" bestFit="1" customWidth="1"/>
    <col min="7" max="9" width="16.125" style="6" bestFit="1" customWidth="1"/>
    <col min="10" max="10" width="20.125" style="6" bestFit="1" customWidth="1"/>
    <col min="11" max="11" width="24.125" style="6" bestFit="1" customWidth="1"/>
    <col min="12" max="14" width="16.125" style="6" bestFit="1" customWidth="1"/>
    <col min="15" max="15" width="17.25" style="6" bestFit="1" customWidth="1"/>
    <col min="16" max="16" width="17.125" style="6" bestFit="1" customWidth="1"/>
    <col min="17" max="17" width="16.125" style="6" bestFit="1" customWidth="1"/>
    <col min="18" max="18" width="21.625" style="6" bestFit="1" customWidth="1"/>
    <col min="19" max="19" width="18.75" style="6" bestFit="1" customWidth="1"/>
    <col min="20" max="20" width="25.125" style="6" bestFit="1" customWidth="1"/>
    <col min="21" max="21" width="22.625" style="6" bestFit="1" customWidth="1"/>
    <col min="22" max="22" width="24.125" style="6" bestFit="1" customWidth="1"/>
    <col min="23" max="23" width="25.625" style="6" bestFit="1" customWidth="1"/>
    <col min="24" max="24" width="21.625" style="6" bestFit="1" customWidth="1"/>
    <col min="25" max="25" width="22.125" style="6" bestFit="1" customWidth="1"/>
    <col min="26" max="26" width="1.75" style="6" customWidth="1"/>
    <col min="27" max="28" width="13.25" style="6" hidden="1" customWidth="1"/>
    <col min="29" max="30" width="14.625" style="6" hidden="1" customWidth="1"/>
    <col min="31" max="31" width="12.75" style="6" customWidth="1"/>
    <col min="32" max="32" width="28.5" style="6" bestFit="1" customWidth="1"/>
    <col min="33" max="33" width="10.75" style="6" customWidth="1"/>
    <col min="34" max="34" width="15.75" style="6" bestFit="1" customWidth="1"/>
    <col min="35" max="35" width="21.25" style="6" bestFit="1" customWidth="1"/>
    <col min="36" max="36" width="36.75" style="6" bestFit="1" customWidth="1"/>
    <col min="37" max="37" width="24.75" style="6" bestFit="1" customWidth="1"/>
    <col min="38" max="38" width="15" style="6" bestFit="1" customWidth="1"/>
    <col min="39" max="39" width="11.25" style="6" bestFit="1" customWidth="1"/>
    <col min="40" max="41" width="8.75" style="6"/>
    <col min="42" max="42" width="10.5" style="6" bestFit="1" customWidth="1"/>
    <col min="43" max="16384" width="8.75" style="6"/>
  </cols>
  <sheetData>
    <row r="1" spans="2:38">
      <c r="F1" s="7"/>
      <c r="G1" s="7"/>
      <c r="H1" s="7"/>
      <c r="I1" s="7"/>
      <c r="J1" s="7"/>
      <c r="K1" s="7"/>
      <c r="L1" s="7"/>
      <c r="M1" s="7"/>
      <c r="N1" s="7"/>
      <c r="U1" s="40">
        <f>SUM(U173)</f>
        <v>108539896596.42001</v>
      </c>
    </row>
    <row r="2" spans="2:38">
      <c r="B2" s="14" t="s">
        <v>56</v>
      </c>
      <c r="C2" s="15" t="s">
        <v>42</v>
      </c>
      <c r="D2" s="15" t="s">
        <v>72</v>
      </c>
      <c r="E2" s="16" t="s">
        <v>26</v>
      </c>
      <c r="F2" s="17" t="s">
        <v>17</v>
      </c>
      <c r="G2" s="17" t="s">
        <v>18</v>
      </c>
      <c r="H2" s="17" t="s">
        <v>19</v>
      </c>
      <c r="I2" s="17" t="s">
        <v>20</v>
      </c>
      <c r="J2" s="17" t="s">
        <v>15</v>
      </c>
      <c r="K2" s="17" t="s">
        <v>21</v>
      </c>
      <c r="L2" s="17" t="s">
        <v>16</v>
      </c>
      <c r="M2" s="17" t="s">
        <v>40</v>
      </c>
      <c r="N2" s="17" t="s">
        <v>41</v>
      </c>
      <c r="O2" s="17" t="s">
        <v>54</v>
      </c>
      <c r="P2" s="17" t="s">
        <v>24</v>
      </c>
      <c r="Q2" s="17" t="s">
        <v>178</v>
      </c>
      <c r="R2" s="17" t="s">
        <v>184</v>
      </c>
      <c r="S2" s="17" t="s">
        <v>326</v>
      </c>
      <c r="T2" s="17" t="s">
        <v>295</v>
      </c>
      <c r="U2" s="17" t="s">
        <v>325</v>
      </c>
      <c r="V2" s="17" t="s">
        <v>304</v>
      </c>
      <c r="W2" s="17" t="s">
        <v>324</v>
      </c>
      <c r="X2" s="17" t="s">
        <v>357</v>
      </c>
      <c r="Y2" s="17" t="s">
        <v>25</v>
      </c>
      <c r="AA2" s="17" t="s">
        <v>60</v>
      </c>
      <c r="AB2" s="17" t="s">
        <v>61</v>
      </c>
      <c r="AC2" s="17" t="s">
        <v>77</v>
      </c>
      <c r="AD2" s="17" t="s">
        <v>83</v>
      </c>
      <c r="AE2" s="42"/>
      <c r="AF2" s="8" t="s">
        <v>112</v>
      </c>
      <c r="AG2" s="8"/>
      <c r="AH2" s="8"/>
    </row>
    <row r="3" spans="2:38">
      <c r="B3" s="5" t="s">
        <v>0</v>
      </c>
      <c r="C3" s="2">
        <v>42326</v>
      </c>
      <c r="D3" s="3">
        <v>1137.0000338962454</v>
      </c>
      <c r="E3" s="5" t="s">
        <v>17</v>
      </c>
      <c r="F3" s="5">
        <v>38139003843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7"/>
      <c r="AA3" s="12"/>
      <c r="AB3" s="12"/>
      <c r="AC3" s="12"/>
      <c r="AD3" s="12"/>
      <c r="AE3" s="42">
        <f>SUM(F3:Y3)</f>
        <v>38139003843</v>
      </c>
      <c r="AF3" s="146" t="s">
        <v>114</v>
      </c>
      <c r="AG3" s="8" t="s">
        <v>89</v>
      </c>
      <c r="AH3" s="105">
        <f>AK3-AI3</f>
        <v>156386393318.84805</v>
      </c>
      <c r="AI3" s="27">
        <f>F61</f>
        <v>377843130</v>
      </c>
      <c r="AJ3" s="27"/>
      <c r="AK3" s="7">
        <f>F173</f>
        <v>156764236448.84805</v>
      </c>
    </row>
    <row r="4" spans="2:38">
      <c r="B4" s="5" t="s">
        <v>1</v>
      </c>
      <c r="C4" s="2">
        <v>42361</v>
      </c>
      <c r="D4" s="3">
        <v>1148</v>
      </c>
      <c r="E4" s="5" t="s">
        <v>17</v>
      </c>
      <c r="F4" s="5">
        <v>21352800000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7"/>
      <c r="AA4" s="12"/>
      <c r="AB4" s="12"/>
      <c r="AC4" s="12"/>
      <c r="AD4" s="12"/>
      <c r="AE4" s="42">
        <f t="shared" ref="AE4:AE67" si="0">SUM(F4:Y4)</f>
        <v>21352800000</v>
      </c>
      <c r="AF4" s="147"/>
      <c r="AG4" s="8" t="s">
        <v>90</v>
      </c>
      <c r="AH4" s="43">
        <f>+AI4+AK4</f>
        <v>31524300288.148911</v>
      </c>
      <c r="AI4" s="25">
        <v>7517393108</v>
      </c>
      <c r="AJ4" s="25"/>
      <c r="AK4" s="25">
        <f>G173</f>
        <v>24006907180.148911</v>
      </c>
      <c r="AL4" s="6" t="s">
        <v>282</v>
      </c>
    </row>
    <row r="5" spans="2:38">
      <c r="B5" s="5" t="s">
        <v>2</v>
      </c>
      <c r="C5" s="2">
        <v>42395</v>
      </c>
      <c r="D5" s="3">
        <v>1207</v>
      </c>
      <c r="E5" s="5" t="s">
        <v>18</v>
      </c>
      <c r="F5" s="5"/>
      <c r="G5" s="5">
        <v>22383729303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7"/>
      <c r="AA5" s="12"/>
      <c r="AB5" s="12"/>
      <c r="AC5" s="12"/>
      <c r="AD5" s="12"/>
      <c r="AE5" s="42">
        <f t="shared" si="0"/>
        <v>22383729303</v>
      </c>
      <c r="AF5" s="147"/>
      <c r="AG5" s="8" t="s">
        <v>91</v>
      </c>
      <c r="AH5" s="105">
        <f>AK5-AI5</f>
        <v>96712679001.302795</v>
      </c>
      <c r="AI5" s="27">
        <f>+H61</f>
        <v>531279000</v>
      </c>
      <c r="AJ5" s="27"/>
      <c r="AK5" s="7">
        <f>H173</f>
        <v>97243958001.302795</v>
      </c>
    </row>
    <row r="6" spans="2:38">
      <c r="B6" s="5"/>
      <c r="C6" s="2"/>
      <c r="D6" s="3"/>
      <c r="E6" s="5"/>
      <c r="F6" s="5">
        <f>F187*$D$3</f>
        <v>765733002.38803709</v>
      </c>
      <c r="G6" s="5">
        <f>G187*$D$3</f>
        <v>154599031.60890639</v>
      </c>
      <c r="H6" s="5">
        <f>H187*$D$3</f>
        <v>0</v>
      </c>
      <c r="I6" s="5">
        <f>I187*$D$3</f>
        <v>0</v>
      </c>
      <c r="J6" s="5">
        <f>J187*$D$3</f>
        <v>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7"/>
      <c r="AA6" s="12"/>
      <c r="AB6" s="12"/>
      <c r="AC6" s="12"/>
      <c r="AD6" s="12"/>
      <c r="AE6" s="42">
        <f t="shared" si="0"/>
        <v>920332033.99694347</v>
      </c>
      <c r="AF6" s="148"/>
      <c r="AG6" s="8" t="s">
        <v>92</v>
      </c>
      <c r="AH6" s="105">
        <f>AK6-AI6</f>
        <v>39334198722.540009</v>
      </c>
      <c r="AI6" s="27">
        <f>I61+I62</f>
        <v>1374141754</v>
      </c>
      <c r="AJ6" s="27"/>
      <c r="AK6" s="25">
        <f>I173</f>
        <v>40708340476.540009</v>
      </c>
      <c r="AL6" s="6" t="s">
        <v>283</v>
      </c>
    </row>
    <row r="7" spans="2:38" ht="17.25" customHeight="1">
      <c r="B7" s="5" t="s">
        <v>3</v>
      </c>
      <c r="C7" s="2">
        <v>42450</v>
      </c>
      <c r="D7" s="3">
        <v>1204.9999623501474</v>
      </c>
      <c r="E7" s="5" t="s">
        <v>19</v>
      </c>
      <c r="F7" s="5"/>
      <c r="G7" s="5"/>
      <c r="H7" s="5">
        <v>8833500454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7"/>
      <c r="AA7" s="12"/>
      <c r="AB7" s="12"/>
      <c r="AC7" s="12"/>
      <c r="AD7" s="12"/>
      <c r="AE7" s="42">
        <f t="shared" si="0"/>
        <v>8833500454</v>
      </c>
      <c r="AF7" s="149" t="s">
        <v>111</v>
      </c>
      <c r="AG7" s="8" t="s">
        <v>113</v>
      </c>
      <c r="AH7" s="43">
        <f t="shared" ref="AH7:AH13" si="1">AK7-AI7</f>
        <v>42585887703.499985</v>
      </c>
      <c r="AI7" s="27">
        <f>+J61</f>
        <v>184216032</v>
      </c>
      <c r="AJ7" s="27"/>
      <c r="AK7" s="7">
        <f>J173</f>
        <v>42770103735.499985</v>
      </c>
    </row>
    <row r="8" spans="2:38">
      <c r="B8" s="5" t="s">
        <v>4</v>
      </c>
      <c r="C8" s="2">
        <v>42527</v>
      </c>
      <c r="D8" s="3">
        <v>1184.1450029871723</v>
      </c>
      <c r="E8" s="5" t="s">
        <v>17</v>
      </c>
      <c r="F8" s="5">
        <v>86629463430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7"/>
      <c r="AA8" s="12"/>
      <c r="AB8" s="12"/>
      <c r="AC8" s="12"/>
      <c r="AD8" s="12"/>
      <c r="AE8" s="42">
        <f t="shared" si="0"/>
        <v>86629463430</v>
      </c>
      <c r="AF8" s="150"/>
      <c r="AG8" s="8" t="s">
        <v>93</v>
      </c>
      <c r="AH8" s="43">
        <f t="shared" si="1"/>
        <v>31622250177.920006</v>
      </c>
      <c r="AI8" s="27">
        <f>+K61</f>
        <v>111153546</v>
      </c>
      <c r="AJ8" s="27"/>
      <c r="AK8" s="25">
        <f>+K173</f>
        <v>31733403723.920006</v>
      </c>
      <c r="AL8" s="46">
        <f>+K79</f>
        <v>-1153349</v>
      </c>
    </row>
    <row r="9" spans="2:38">
      <c r="B9" s="5" t="s">
        <v>5</v>
      </c>
      <c r="C9" s="2">
        <v>42535</v>
      </c>
      <c r="D9" s="3">
        <v>1186.59999943049</v>
      </c>
      <c r="E9" s="5" t="s">
        <v>29</v>
      </c>
      <c r="F9" s="5"/>
      <c r="G9" s="5"/>
      <c r="H9" s="5">
        <v>10303356780</v>
      </c>
      <c r="I9" s="5"/>
      <c r="J9" s="5"/>
      <c r="K9" s="5"/>
      <c r="L9" s="5"/>
      <c r="M9" s="5"/>
      <c r="N9" s="5"/>
      <c r="O9" s="5"/>
      <c r="P9" s="5">
        <v>1364500000</v>
      </c>
      <c r="Q9" s="5"/>
      <c r="R9" s="5"/>
      <c r="S9" s="5"/>
      <c r="T9" s="5"/>
      <c r="U9" s="5"/>
      <c r="V9" s="5"/>
      <c r="W9" s="5"/>
      <c r="X9" s="5"/>
      <c r="Y9" s="5"/>
      <c r="Z9" s="7"/>
      <c r="AA9" s="12"/>
      <c r="AB9" s="12"/>
      <c r="AC9" s="12"/>
      <c r="AD9" s="12"/>
      <c r="AE9" s="42">
        <f t="shared" si="0"/>
        <v>11667856780</v>
      </c>
      <c r="AF9" s="150"/>
      <c r="AG9" s="8" t="s">
        <v>94</v>
      </c>
      <c r="AH9" s="105">
        <f t="shared" si="1"/>
        <v>38260009023.163628</v>
      </c>
      <c r="AI9" s="27">
        <f>L61</f>
        <v>928899090</v>
      </c>
      <c r="AJ9" s="27"/>
      <c r="AK9" s="7">
        <f>L173</f>
        <v>39188908113.163628</v>
      </c>
      <c r="AL9" s="45"/>
    </row>
    <row r="10" spans="2:38">
      <c r="B10" s="5" t="s">
        <v>6</v>
      </c>
      <c r="C10" s="2">
        <v>42572</v>
      </c>
      <c r="D10" s="3">
        <v>1146.0999812288335</v>
      </c>
      <c r="E10" s="5" t="s">
        <v>30</v>
      </c>
      <c r="F10" s="5"/>
      <c r="G10" s="5"/>
      <c r="H10" s="5">
        <v>1350827638</v>
      </c>
      <c r="I10" s="5">
        <v>15354205359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7"/>
      <c r="AA10" s="12"/>
      <c r="AB10" s="12"/>
      <c r="AC10" s="12"/>
      <c r="AD10" s="12"/>
      <c r="AE10" s="42">
        <f t="shared" si="0"/>
        <v>16705032997</v>
      </c>
      <c r="AF10" s="150"/>
      <c r="AG10" s="8" t="s">
        <v>95</v>
      </c>
      <c r="AH10" s="43">
        <f t="shared" si="1"/>
        <v>25933507167</v>
      </c>
      <c r="AI10" s="27">
        <f>+M61</f>
        <v>813884274</v>
      </c>
      <c r="AJ10" s="27"/>
      <c r="AK10" s="7">
        <f>M173</f>
        <v>26747391441</v>
      </c>
    </row>
    <row r="11" spans="2:38">
      <c r="B11" s="5" t="s">
        <v>7</v>
      </c>
      <c r="C11" s="2">
        <v>42573</v>
      </c>
      <c r="D11" s="3">
        <v>1146.1000809189907</v>
      </c>
      <c r="E11" s="5" t="s">
        <v>31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>
        <v>5300000000</v>
      </c>
      <c r="Q11" s="5"/>
      <c r="R11" s="5"/>
      <c r="S11" s="5"/>
      <c r="T11" s="5"/>
      <c r="U11" s="5"/>
      <c r="V11" s="5"/>
      <c r="W11" s="5"/>
      <c r="X11" s="5"/>
      <c r="Y11" s="5"/>
      <c r="Z11" s="7"/>
      <c r="AA11" s="12"/>
      <c r="AB11" s="12"/>
      <c r="AC11" s="12"/>
      <c r="AD11" s="12"/>
      <c r="AE11" s="42">
        <f t="shared" si="0"/>
        <v>5300000000</v>
      </c>
      <c r="AF11" s="150"/>
      <c r="AG11" s="8" t="s">
        <v>96</v>
      </c>
      <c r="AH11" s="44">
        <f t="shared" si="1"/>
        <v>0</v>
      </c>
    </row>
    <row r="12" spans="2:38">
      <c r="B12" s="5" t="s">
        <v>8</v>
      </c>
      <c r="C12" s="2">
        <v>42605</v>
      </c>
      <c r="D12" s="3">
        <v>1110.0000091198522</v>
      </c>
      <c r="E12" s="5" t="s">
        <v>32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v>6193000000</v>
      </c>
      <c r="Q12" s="5"/>
      <c r="R12" s="5"/>
      <c r="S12" s="5"/>
      <c r="T12" s="5"/>
      <c r="U12" s="5"/>
      <c r="V12" s="5"/>
      <c r="W12" s="5"/>
      <c r="X12" s="5"/>
      <c r="Y12" s="5"/>
      <c r="Z12" s="7"/>
      <c r="AA12" s="12"/>
      <c r="AB12" s="12"/>
      <c r="AC12" s="12"/>
      <c r="AD12" s="12"/>
      <c r="AE12" s="42">
        <f t="shared" si="0"/>
        <v>6193000000</v>
      </c>
      <c r="AF12" s="150"/>
      <c r="AG12" s="8" t="s">
        <v>97</v>
      </c>
      <c r="AH12" s="43">
        <f t="shared" si="1"/>
        <v>99047005995.525482</v>
      </c>
      <c r="AI12" s="27">
        <f>+N61</f>
        <v>1226154510</v>
      </c>
      <c r="AJ12" s="27"/>
      <c r="AK12" s="7">
        <f>N173</f>
        <v>100273160505.52548</v>
      </c>
    </row>
    <row r="13" spans="2:38">
      <c r="B13" s="5" t="s">
        <v>8</v>
      </c>
      <c r="C13" s="2">
        <v>42605</v>
      </c>
      <c r="D13" s="3">
        <v>1110.0000091198522</v>
      </c>
      <c r="E13" s="5" t="s">
        <v>43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v>-1324500000</v>
      </c>
      <c r="Q13" s="5"/>
      <c r="R13" s="5"/>
      <c r="S13" s="5"/>
      <c r="T13" s="5"/>
      <c r="U13" s="5"/>
      <c r="V13" s="5"/>
      <c r="W13" s="5"/>
      <c r="X13" s="5"/>
      <c r="Y13" s="5"/>
      <c r="Z13" s="7"/>
      <c r="AA13" s="12"/>
      <c r="AB13" s="12"/>
      <c r="AC13" s="12"/>
      <c r="AD13" s="12"/>
      <c r="AE13" s="42">
        <f t="shared" si="0"/>
        <v>-1324500000</v>
      </c>
      <c r="AF13" s="150"/>
      <c r="AG13" s="8" t="s">
        <v>98</v>
      </c>
      <c r="AH13" s="43">
        <f t="shared" si="1"/>
        <v>166166384702.72687</v>
      </c>
      <c r="AI13" s="27">
        <f>+O61</f>
        <v>1729017738</v>
      </c>
      <c r="AJ13" s="27"/>
      <c r="AK13" s="7">
        <f>O173</f>
        <v>167895402440.72687</v>
      </c>
    </row>
    <row r="14" spans="2:38">
      <c r="B14" s="5" t="s">
        <v>9</v>
      </c>
      <c r="C14" s="2">
        <v>42636</v>
      </c>
      <c r="D14" s="3">
        <v>1090.000006698778</v>
      </c>
      <c r="E14" s="5" t="s">
        <v>19</v>
      </c>
      <c r="F14" s="5"/>
      <c r="G14" s="5"/>
      <c r="H14" s="5">
        <v>53533645569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7"/>
      <c r="AA14" s="12"/>
      <c r="AB14" s="12"/>
      <c r="AC14" s="12"/>
      <c r="AD14" s="12"/>
      <c r="AE14" s="42">
        <f t="shared" si="0"/>
        <v>53533645569</v>
      </c>
      <c r="AF14" s="150"/>
      <c r="AG14" s="8" t="s">
        <v>125</v>
      </c>
      <c r="AH14" s="43">
        <f>Q173</f>
        <v>66641327248.614861</v>
      </c>
    </row>
    <row r="15" spans="2:38">
      <c r="B15" s="5" t="s">
        <v>10</v>
      </c>
      <c r="C15" s="2">
        <v>42663</v>
      </c>
      <c r="D15" s="3">
        <v>1095.9999649601339</v>
      </c>
      <c r="E15" s="5" t="s">
        <v>281</v>
      </c>
      <c r="F15" s="5">
        <v>762816000</v>
      </c>
      <c r="G15" s="5">
        <v>5242686216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7"/>
      <c r="AA15" s="12"/>
      <c r="AB15" s="12"/>
      <c r="AC15" s="12"/>
      <c r="AD15" s="12"/>
      <c r="AE15" s="42">
        <f t="shared" si="0"/>
        <v>6005502216</v>
      </c>
      <c r="AF15" s="150"/>
      <c r="AG15" s="8" t="s">
        <v>186</v>
      </c>
      <c r="AH15" s="43">
        <f>R173</f>
        <v>26069952312.82</v>
      </c>
    </row>
    <row r="16" spans="2:38">
      <c r="B16" s="5" t="s">
        <v>11</v>
      </c>
      <c r="C16" s="2">
        <v>42719</v>
      </c>
      <c r="D16" s="3">
        <v>1175.5064812043586</v>
      </c>
      <c r="E16" s="5" t="s">
        <v>18</v>
      </c>
      <c r="F16" s="5"/>
      <c r="G16" s="5">
        <v>1975590282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7"/>
      <c r="AA16" s="12"/>
      <c r="AB16" s="12"/>
      <c r="AC16" s="12"/>
      <c r="AD16" s="12"/>
      <c r="AE16" s="42">
        <f t="shared" si="0"/>
        <v>1975590282</v>
      </c>
      <c r="AF16" s="151"/>
      <c r="AG16" s="8" t="s">
        <v>191</v>
      </c>
      <c r="AH16" s="43">
        <f>S173</f>
        <v>77993669095.37999</v>
      </c>
    </row>
    <row r="17" spans="2:34">
      <c r="B17" s="311" t="s">
        <v>12</v>
      </c>
      <c r="C17" s="314">
        <v>42790</v>
      </c>
      <c r="D17" s="3">
        <v>1138.4999465739954</v>
      </c>
      <c r="E17" s="5" t="s">
        <v>21</v>
      </c>
      <c r="F17" s="5"/>
      <c r="G17" s="5"/>
      <c r="H17" s="5"/>
      <c r="I17" s="5"/>
      <c r="J17" s="5"/>
      <c r="K17" s="5">
        <v>22726951110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315000000</v>
      </c>
      <c r="Z17" s="7"/>
      <c r="AA17" s="12"/>
      <c r="AB17" s="12"/>
      <c r="AC17" s="12"/>
      <c r="AD17" s="12"/>
      <c r="AE17" s="42">
        <f t="shared" si="0"/>
        <v>23041951110</v>
      </c>
      <c r="AF17" s="8"/>
      <c r="AG17" s="8" t="s">
        <v>224</v>
      </c>
      <c r="AH17" s="43">
        <f>T173</f>
        <v>59390848299.320007</v>
      </c>
    </row>
    <row r="18" spans="2:34">
      <c r="B18" s="313"/>
      <c r="C18" s="316"/>
      <c r="D18" s="3">
        <v>1147.8499999999999</v>
      </c>
      <c r="E18" s="5" t="s">
        <v>68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-300000000</v>
      </c>
      <c r="Z18" s="7"/>
      <c r="AA18" s="12"/>
      <c r="AB18" s="12"/>
      <c r="AC18" s="12"/>
      <c r="AD18" s="12"/>
      <c r="AE18" s="42">
        <f t="shared" si="0"/>
        <v>-300000000</v>
      </c>
      <c r="AG18" s="8" t="s">
        <v>275</v>
      </c>
      <c r="AH18" s="43">
        <f>+U173</f>
        <v>108539896596.42001</v>
      </c>
    </row>
    <row r="19" spans="2:34">
      <c r="B19" s="311" t="s">
        <v>13</v>
      </c>
      <c r="C19" s="314">
        <v>42850</v>
      </c>
      <c r="D19" s="3">
        <v>1130.9999954563164</v>
      </c>
      <c r="E19" s="5" t="s">
        <v>34</v>
      </c>
      <c r="F19" s="5"/>
      <c r="G19" s="5"/>
      <c r="H19" s="5"/>
      <c r="I19" s="5"/>
      <c r="J19" s="5">
        <f>27338093021-300000000</f>
        <v>27038093021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315000000</v>
      </c>
      <c r="Z19" s="7"/>
      <c r="AA19" s="12"/>
      <c r="AB19" s="12"/>
      <c r="AC19" s="12"/>
      <c r="AD19" s="12"/>
      <c r="AE19" s="42">
        <f t="shared" si="0"/>
        <v>27353093021</v>
      </c>
    </row>
    <row r="20" spans="2:34">
      <c r="B20" s="312"/>
      <c r="C20" s="315"/>
      <c r="D20" s="3">
        <v>1127.1400000000001</v>
      </c>
      <c r="E20" s="5" t="s">
        <v>69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-300000000</v>
      </c>
      <c r="Z20" s="7"/>
      <c r="AA20" s="12"/>
      <c r="AB20" s="12"/>
      <c r="AC20" s="12"/>
      <c r="AD20" s="12"/>
      <c r="AE20" s="42">
        <f t="shared" si="0"/>
        <v>-300000000</v>
      </c>
      <c r="AH20" s="31">
        <f>SUM(AH3:AH18)</f>
        <v>1066208309653.2306</v>
      </c>
    </row>
    <row r="21" spans="2:34">
      <c r="B21" s="312"/>
      <c r="C21" s="315"/>
      <c r="D21" s="3">
        <v>1130.9999954563164</v>
      </c>
      <c r="E21" s="5" t="s">
        <v>35</v>
      </c>
      <c r="F21" s="5"/>
      <c r="G21" s="5"/>
      <c r="H21" s="5">
        <v>21548963266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7"/>
      <c r="AA21" s="12"/>
      <c r="AB21" s="12"/>
      <c r="AC21" s="12"/>
      <c r="AD21" s="12"/>
      <c r="AE21" s="42">
        <f t="shared" si="0"/>
        <v>21548963266</v>
      </c>
      <c r="AH21" s="7"/>
    </row>
    <row r="22" spans="2:34">
      <c r="B22" s="312"/>
      <c r="C22" s="315"/>
      <c r="D22" s="3">
        <v>1130.9999954563164</v>
      </c>
      <c r="E22" s="5" t="s">
        <v>70</v>
      </c>
      <c r="F22" s="5"/>
      <c r="G22" s="5"/>
      <c r="H22" s="5">
        <v>-11200000000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7"/>
      <c r="AA22" s="12"/>
      <c r="AB22" s="12"/>
      <c r="AC22" s="12"/>
      <c r="AD22" s="12"/>
      <c r="AE22" s="42">
        <f t="shared" si="0"/>
        <v>-11200000000</v>
      </c>
    </row>
    <row r="23" spans="2:34">
      <c r="B23" s="313"/>
      <c r="C23" s="316"/>
      <c r="D23" s="3">
        <v>1130.9999954563164</v>
      </c>
      <c r="E23" s="5" t="s">
        <v>44</v>
      </c>
      <c r="F23" s="5">
        <v>1898968363</v>
      </c>
      <c r="G23" s="5">
        <v>559403390</v>
      </c>
      <c r="H23" s="5">
        <v>932678078</v>
      </c>
      <c r="I23" s="5">
        <v>955623860</v>
      </c>
      <c r="J23" s="5"/>
      <c r="K23" s="5"/>
      <c r="L23" s="5"/>
      <c r="M23" s="5"/>
      <c r="N23" s="5"/>
      <c r="O23" s="5"/>
      <c r="P23" s="5">
        <v>84323040</v>
      </c>
      <c r="Q23" s="5"/>
      <c r="R23" s="5"/>
      <c r="S23" s="5"/>
      <c r="T23" s="5"/>
      <c r="U23" s="5"/>
      <c r="V23" s="5"/>
      <c r="W23" s="5"/>
      <c r="X23" s="5"/>
      <c r="Y23" s="5"/>
      <c r="Z23" s="7"/>
      <c r="AA23" s="12"/>
      <c r="AB23" s="12"/>
      <c r="AC23" s="12"/>
      <c r="AD23" s="12"/>
      <c r="AE23" s="42">
        <f t="shared" si="0"/>
        <v>4430996731</v>
      </c>
    </row>
    <row r="24" spans="2:34">
      <c r="B24" s="346" t="s">
        <v>36</v>
      </c>
      <c r="C24" s="347"/>
      <c r="D24" s="3">
        <v>1130.9999954563164</v>
      </c>
      <c r="E24" s="9" t="s">
        <v>85</v>
      </c>
      <c r="F24" s="5"/>
      <c r="G24" s="5"/>
      <c r="H24" s="5">
        <v>11175298125.962799</v>
      </c>
      <c r="I24" s="5"/>
      <c r="J24" s="5"/>
      <c r="K24" s="5"/>
      <c r="L24" s="5"/>
      <c r="M24" s="5"/>
      <c r="N24" s="5"/>
      <c r="O24" s="5"/>
      <c r="P24" s="5">
        <v>-11175298125.962799</v>
      </c>
      <c r="Q24" s="5"/>
      <c r="R24" s="5"/>
      <c r="S24" s="5"/>
      <c r="T24" s="5"/>
      <c r="U24" s="5"/>
      <c r="V24" s="5"/>
      <c r="W24" s="5"/>
      <c r="X24" s="5"/>
      <c r="Y24" s="5"/>
      <c r="Z24" s="7"/>
      <c r="AA24" s="12"/>
      <c r="AB24" s="12"/>
      <c r="AC24" s="12"/>
      <c r="AD24" s="12"/>
      <c r="AE24" s="42">
        <f t="shared" si="0"/>
        <v>0</v>
      </c>
    </row>
    <row r="25" spans="2:34">
      <c r="B25" s="348"/>
      <c r="C25" s="349"/>
      <c r="D25" s="3">
        <v>1125</v>
      </c>
      <c r="E25" s="9" t="s">
        <v>22</v>
      </c>
      <c r="F25" s="5"/>
      <c r="G25" s="5"/>
      <c r="H25" s="5">
        <v>-4507344000</v>
      </c>
      <c r="I25" s="5"/>
      <c r="J25" s="5"/>
      <c r="K25" s="5"/>
      <c r="L25" s="5">
        <f>-H25</f>
        <v>4507344000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7"/>
      <c r="AA25" s="12"/>
      <c r="AB25" s="12"/>
      <c r="AC25" s="12"/>
      <c r="AD25" s="12"/>
      <c r="AE25" s="42">
        <f t="shared" si="0"/>
        <v>0</v>
      </c>
    </row>
    <row r="26" spans="2:34">
      <c r="B26" s="350"/>
      <c r="C26" s="351"/>
      <c r="D26" s="3">
        <v>1125</v>
      </c>
      <c r="E26" s="9" t="s">
        <v>23</v>
      </c>
      <c r="F26" s="5"/>
      <c r="G26" s="5"/>
      <c r="H26" s="5">
        <v>491673375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7"/>
      <c r="AA26" s="12"/>
      <c r="AB26" s="12"/>
      <c r="AC26" s="12"/>
      <c r="AD26" s="12"/>
      <c r="AE26" s="42">
        <f t="shared" si="0"/>
        <v>491673375</v>
      </c>
    </row>
    <row r="27" spans="2:34">
      <c r="B27" s="311" t="s">
        <v>14</v>
      </c>
      <c r="C27" s="314">
        <v>42971</v>
      </c>
      <c r="D27" s="3">
        <v>1125</v>
      </c>
      <c r="E27" s="5" t="s">
        <v>22</v>
      </c>
      <c r="F27" s="5"/>
      <c r="G27" s="5"/>
      <c r="H27" s="5"/>
      <c r="I27" s="5"/>
      <c r="J27" s="5"/>
      <c r="K27" s="5"/>
      <c r="L27" s="5">
        <f>21548294116-L25</f>
        <v>17040950116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315000000</v>
      </c>
      <c r="Z27" s="7"/>
      <c r="AA27" s="12"/>
      <c r="AB27" s="12"/>
      <c r="AC27" s="12"/>
      <c r="AD27" s="12"/>
      <c r="AE27" s="42">
        <f t="shared" si="0"/>
        <v>17355950116</v>
      </c>
    </row>
    <row r="28" spans="2:34">
      <c r="B28" s="312"/>
      <c r="C28" s="315"/>
      <c r="D28" s="3">
        <v>1125</v>
      </c>
      <c r="E28" s="5" t="s">
        <v>57</v>
      </c>
      <c r="F28" s="5"/>
      <c r="G28" s="5"/>
      <c r="H28" s="5"/>
      <c r="I28" s="5">
        <v>500000000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7"/>
      <c r="AA28" s="12"/>
      <c r="AB28" s="12"/>
      <c r="AC28" s="12"/>
      <c r="AD28" s="12"/>
      <c r="AE28" s="42">
        <f t="shared" si="0"/>
        <v>500000000</v>
      </c>
    </row>
    <row r="29" spans="2:34">
      <c r="B29" s="313"/>
      <c r="C29" s="316"/>
      <c r="D29" s="3">
        <v>1125</v>
      </c>
      <c r="E29" s="5" t="s">
        <v>23</v>
      </c>
      <c r="F29" s="5">
        <v>953977500</v>
      </c>
      <c r="G29" s="181">
        <v>285499125</v>
      </c>
      <c r="H29" s="181"/>
      <c r="I29" s="181">
        <v>357213375</v>
      </c>
      <c r="J29" s="5"/>
      <c r="K29" s="5"/>
      <c r="L29" s="5"/>
      <c r="M29" s="5"/>
      <c r="N29" s="5"/>
      <c r="O29" s="5"/>
      <c r="P29" s="181">
        <v>14370750</v>
      </c>
      <c r="Q29" s="181"/>
      <c r="R29" s="181"/>
      <c r="S29" s="181"/>
      <c r="T29" s="181"/>
      <c r="U29" s="181"/>
      <c r="V29" s="181"/>
      <c r="W29" s="181"/>
      <c r="X29" s="181"/>
      <c r="Y29" s="5"/>
      <c r="Z29" s="7"/>
      <c r="AA29" s="12"/>
      <c r="AB29" s="12"/>
      <c r="AC29" s="12"/>
      <c r="AD29" s="12"/>
      <c r="AE29" s="42">
        <f t="shared" si="0"/>
        <v>1611060750</v>
      </c>
    </row>
    <row r="30" spans="2:34">
      <c r="B30" s="257"/>
      <c r="C30" s="258">
        <v>43005</v>
      </c>
      <c r="D30" s="30">
        <v>1135.0999999999999</v>
      </c>
      <c r="E30" s="28" t="s">
        <v>71</v>
      </c>
      <c r="F30" s="28"/>
      <c r="G30" s="259"/>
      <c r="H30" s="259"/>
      <c r="I30" s="259"/>
      <c r="J30" s="28"/>
      <c r="K30" s="28"/>
      <c r="L30" s="28"/>
      <c r="M30" s="28"/>
      <c r="N30" s="28"/>
      <c r="O30" s="28"/>
      <c r="P30" s="259"/>
      <c r="Q30" s="259"/>
      <c r="R30" s="259"/>
      <c r="S30" s="259"/>
      <c r="T30" s="259"/>
      <c r="U30" s="259"/>
      <c r="V30" s="259"/>
      <c r="W30" s="259"/>
      <c r="X30" s="259"/>
      <c r="Y30" s="28">
        <v>-300000000</v>
      </c>
      <c r="Z30" s="7"/>
      <c r="AA30" s="12"/>
      <c r="AB30" s="12"/>
      <c r="AC30" s="12"/>
      <c r="AD30" s="12"/>
      <c r="AE30" s="42">
        <f t="shared" si="0"/>
        <v>-300000000</v>
      </c>
    </row>
    <row r="31" spans="2:34">
      <c r="B31" s="311" t="s">
        <v>45</v>
      </c>
      <c r="C31" s="314">
        <v>43018</v>
      </c>
      <c r="D31" s="3">
        <v>1130</v>
      </c>
      <c r="E31" s="5" t="s">
        <v>46</v>
      </c>
      <c r="F31" s="5"/>
      <c r="G31" s="5"/>
      <c r="H31" s="5"/>
      <c r="I31" s="181"/>
      <c r="J31" s="5"/>
      <c r="K31" s="5"/>
      <c r="L31" s="5"/>
      <c r="M31" s="5">
        <v>7905000000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260000000</v>
      </c>
      <c r="Z31" s="7"/>
      <c r="AA31" s="12"/>
      <c r="AB31" s="12"/>
      <c r="AC31" s="12"/>
      <c r="AD31" s="12"/>
      <c r="AE31" s="42">
        <f t="shared" si="0"/>
        <v>8165000000</v>
      </c>
    </row>
    <row r="32" spans="2:34">
      <c r="B32" s="313"/>
      <c r="C32" s="316"/>
      <c r="D32" s="3">
        <v>1134.3</v>
      </c>
      <c r="E32" s="5" t="s">
        <v>73</v>
      </c>
      <c r="F32" s="5"/>
      <c r="G32" s="5"/>
      <c r="H32" s="5"/>
      <c r="I32" s="181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-300000000</v>
      </c>
      <c r="Z32" s="7"/>
      <c r="AA32" s="12"/>
      <c r="AB32" s="12"/>
      <c r="AC32" s="12"/>
      <c r="AD32" s="12"/>
      <c r="AE32" s="42">
        <f t="shared" si="0"/>
        <v>-300000000</v>
      </c>
    </row>
    <row r="33" spans="2:31">
      <c r="B33" s="311" t="s">
        <v>47</v>
      </c>
      <c r="C33" s="314">
        <v>43041</v>
      </c>
      <c r="D33" s="3">
        <v>1129</v>
      </c>
      <c r="E33" s="5" t="s">
        <v>48</v>
      </c>
      <c r="F33" s="5"/>
      <c r="G33" s="5"/>
      <c r="H33" s="5"/>
      <c r="I33" s="181"/>
      <c r="J33" s="5"/>
      <c r="K33" s="5"/>
      <c r="L33" s="5"/>
      <c r="M33" s="5"/>
      <c r="N33" s="5">
        <v>12915750000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315000000</v>
      </c>
      <c r="Z33" s="7"/>
      <c r="AA33" s="12"/>
      <c r="AB33" s="12"/>
      <c r="AC33" s="12"/>
      <c r="AD33" s="12"/>
      <c r="AE33" s="42">
        <f t="shared" si="0"/>
        <v>13230750000</v>
      </c>
    </row>
    <row r="34" spans="2:31">
      <c r="B34" s="313"/>
      <c r="C34" s="316"/>
      <c r="D34" s="26"/>
      <c r="E34" s="5" t="s">
        <v>74</v>
      </c>
      <c r="F34" s="5"/>
      <c r="G34" s="5"/>
      <c r="H34" s="5"/>
      <c r="I34" s="181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-300000000</v>
      </c>
      <c r="Z34" s="7"/>
      <c r="AA34" s="12"/>
      <c r="AB34" s="12"/>
      <c r="AC34" s="12"/>
      <c r="AD34" s="12"/>
      <c r="AE34" s="42">
        <f t="shared" si="0"/>
        <v>-300000000</v>
      </c>
    </row>
    <row r="35" spans="2:31">
      <c r="B35" s="1" t="s">
        <v>62</v>
      </c>
      <c r="C35" s="19">
        <v>43047</v>
      </c>
      <c r="D35" s="3">
        <v>1115</v>
      </c>
      <c r="E35" s="21" t="s">
        <v>63</v>
      </c>
      <c r="F35" s="5"/>
      <c r="G35" s="5"/>
      <c r="H35" s="5"/>
      <c r="I35" s="181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7"/>
      <c r="AA35" s="12">
        <v>4100000000</v>
      </c>
      <c r="AB35" s="12"/>
      <c r="AC35" s="12"/>
      <c r="AD35" s="12"/>
      <c r="AE35" s="42">
        <f t="shared" si="0"/>
        <v>0</v>
      </c>
    </row>
    <row r="36" spans="2:31">
      <c r="B36" s="1" t="s">
        <v>64</v>
      </c>
      <c r="C36" s="19">
        <v>43062</v>
      </c>
      <c r="D36" s="3">
        <v>1086</v>
      </c>
      <c r="E36" s="21" t="s">
        <v>65</v>
      </c>
      <c r="F36" s="5"/>
      <c r="G36" s="5"/>
      <c r="H36" s="5"/>
      <c r="I36" s="181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7"/>
      <c r="AA36" s="12"/>
      <c r="AB36" s="12">
        <v>2550000000</v>
      </c>
      <c r="AC36" s="12"/>
      <c r="AD36" s="12"/>
      <c r="AE36" s="42">
        <f t="shared" si="0"/>
        <v>0</v>
      </c>
    </row>
    <row r="37" spans="2:31">
      <c r="B37" s="311" t="s">
        <v>51</v>
      </c>
      <c r="C37" s="2">
        <v>43068</v>
      </c>
      <c r="D37" s="3">
        <v>1095</v>
      </c>
      <c r="E37" s="5" t="s">
        <v>52</v>
      </c>
      <c r="F37" s="5"/>
      <c r="G37" s="5"/>
      <c r="H37" s="5"/>
      <c r="I37" s="181"/>
      <c r="J37" s="5"/>
      <c r="K37" s="5"/>
      <c r="L37" s="5"/>
      <c r="M37" s="5"/>
      <c r="N37" s="5"/>
      <c r="O37" s="5">
        <v>40542939771</v>
      </c>
      <c r="P37" s="5"/>
      <c r="Q37" s="5"/>
      <c r="R37" s="5"/>
      <c r="S37" s="5"/>
      <c r="T37" s="5"/>
      <c r="U37" s="5"/>
      <c r="V37" s="5"/>
      <c r="W37" s="5"/>
      <c r="X37" s="5"/>
      <c r="Y37" s="5">
        <v>160000000</v>
      </c>
      <c r="Z37" s="7"/>
      <c r="AA37" s="12"/>
      <c r="AB37" s="12"/>
      <c r="AC37" s="12"/>
      <c r="AD37" s="12"/>
      <c r="AE37" s="42">
        <f t="shared" si="0"/>
        <v>40702939771</v>
      </c>
    </row>
    <row r="38" spans="2:31">
      <c r="B38" s="313"/>
      <c r="C38" s="2">
        <v>43068</v>
      </c>
      <c r="D38" s="3">
        <v>1095</v>
      </c>
      <c r="E38" s="5" t="s">
        <v>59</v>
      </c>
      <c r="F38" s="5">
        <v>845527245</v>
      </c>
      <c r="G38" s="5">
        <v>281349300</v>
      </c>
      <c r="H38" s="5">
        <v>504233265</v>
      </c>
      <c r="I38" s="181">
        <v>239420655</v>
      </c>
      <c r="J38" s="5">
        <v>321343080</v>
      </c>
      <c r="K38" s="5">
        <v>260441370</v>
      </c>
      <c r="L38" s="5"/>
      <c r="M38" s="5"/>
      <c r="N38" s="5"/>
      <c r="O38" s="5"/>
      <c r="P38" s="5">
        <v>1091715</v>
      </c>
      <c r="Q38" s="5"/>
      <c r="R38" s="5"/>
      <c r="S38" s="5"/>
      <c r="T38" s="5"/>
      <c r="U38" s="5"/>
      <c r="V38" s="5"/>
      <c r="W38" s="5"/>
      <c r="X38" s="5"/>
      <c r="Y38" s="5"/>
      <c r="Z38" s="7"/>
      <c r="AA38" s="12"/>
      <c r="AB38" s="12"/>
      <c r="AC38" s="12"/>
      <c r="AD38" s="12"/>
      <c r="AE38" s="42">
        <f t="shared" si="0"/>
        <v>2453406630</v>
      </c>
    </row>
    <row r="39" spans="2:31">
      <c r="B39" s="1" t="s">
        <v>66</v>
      </c>
      <c r="C39" s="19">
        <v>43074</v>
      </c>
      <c r="D39" s="3">
        <v>1087</v>
      </c>
      <c r="E39" s="5" t="s">
        <v>67</v>
      </c>
      <c r="F39" s="5"/>
      <c r="G39" s="5"/>
      <c r="H39" s="5"/>
      <c r="I39" s="181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7"/>
      <c r="AA39" s="12">
        <v>330000000</v>
      </c>
      <c r="AB39" s="12">
        <v>230000000</v>
      </c>
      <c r="AC39" s="12"/>
      <c r="AD39" s="12"/>
      <c r="AE39" s="42">
        <f t="shared" si="0"/>
        <v>0</v>
      </c>
    </row>
    <row r="40" spans="2:31">
      <c r="B40" s="18" t="s">
        <v>58</v>
      </c>
      <c r="C40" s="2">
        <v>43075</v>
      </c>
      <c r="D40" s="3">
        <v>1087</v>
      </c>
      <c r="E40" s="5" t="s">
        <v>48</v>
      </c>
      <c r="F40" s="5"/>
      <c r="G40" s="5"/>
      <c r="H40" s="5"/>
      <c r="I40" s="181"/>
      <c r="J40" s="5"/>
      <c r="K40" s="5"/>
      <c r="L40" s="5"/>
      <c r="M40" s="5"/>
      <c r="N40" s="5">
        <v>65300000000</v>
      </c>
      <c r="O40" s="5">
        <v>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7"/>
      <c r="AA40" s="12"/>
      <c r="AB40" s="12"/>
      <c r="AC40" s="12"/>
      <c r="AD40" s="12"/>
      <c r="AE40" s="42">
        <f t="shared" si="0"/>
        <v>65300000000</v>
      </c>
    </row>
    <row r="41" spans="2:31">
      <c r="B41" s="10" t="s">
        <v>75</v>
      </c>
      <c r="C41" s="4">
        <v>43095</v>
      </c>
      <c r="D41" s="3">
        <v>1082.5</v>
      </c>
      <c r="E41" s="5" t="s">
        <v>76</v>
      </c>
      <c r="F41" s="5"/>
      <c r="G41" s="5"/>
      <c r="H41" s="5"/>
      <c r="I41" s="181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7"/>
      <c r="AA41" s="12"/>
      <c r="AB41" s="12"/>
      <c r="AC41" s="12">
        <v>2650000000</v>
      </c>
      <c r="AD41" s="12"/>
      <c r="AE41" s="42">
        <f t="shared" si="0"/>
        <v>0</v>
      </c>
    </row>
    <row r="42" spans="2:31">
      <c r="B42" s="10" t="s">
        <v>81</v>
      </c>
      <c r="C42" s="4">
        <v>43098</v>
      </c>
      <c r="D42" s="3">
        <v>1082.5</v>
      </c>
      <c r="E42" s="5" t="s">
        <v>82</v>
      </c>
      <c r="F42" s="5"/>
      <c r="G42" s="5"/>
      <c r="H42" s="5"/>
      <c r="I42" s="181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7"/>
      <c r="AA42" s="12"/>
      <c r="AB42" s="12"/>
      <c r="AC42" s="12"/>
      <c r="AD42" s="12">
        <v>4100000000</v>
      </c>
      <c r="AE42" s="42">
        <f t="shared" si="0"/>
        <v>0</v>
      </c>
    </row>
    <row r="43" spans="2:31">
      <c r="B43" s="10" t="s">
        <v>78</v>
      </c>
      <c r="C43" s="4">
        <v>43102</v>
      </c>
      <c r="D43" s="3">
        <v>1089</v>
      </c>
      <c r="E43" s="5" t="s">
        <v>79</v>
      </c>
      <c r="F43" s="5"/>
      <c r="G43" s="5"/>
      <c r="H43" s="5"/>
      <c r="I43" s="181">
        <v>2456195931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7"/>
      <c r="AA43" s="12"/>
      <c r="AB43" s="12"/>
      <c r="AC43" s="12"/>
      <c r="AD43" s="12"/>
      <c r="AE43" s="42">
        <f t="shared" si="0"/>
        <v>2456195931</v>
      </c>
    </row>
    <row r="44" spans="2:31">
      <c r="B44" s="10" t="s">
        <v>84</v>
      </c>
      <c r="C44" s="4">
        <v>43119</v>
      </c>
      <c r="D44" s="3">
        <v>1066</v>
      </c>
      <c r="E44" s="5" t="s">
        <v>46</v>
      </c>
      <c r="F44" s="5"/>
      <c r="G44" s="5"/>
      <c r="H44" s="5"/>
      <c r="I44" s="181"/>
      <c r="J44" s="5"/>
      <c r="K44" s="5"/>
      <c r="L44" s="5"/>
      <c r="M44" s="5">
        <v>7469519381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7"/>
      <c r="AA44" s="12"/>
      <c r="AB44" s="12"/>
      <c r="AC44" s="12"/>
      <c r="AD44" s="12"/>
      <c r="AE44" s="42">
        <f t="shared" si="0"/>
        <v>7469519381</v>
      </c>
    </row>
    <row r="45" spans="2:31">
      <c r="B45" s="311" t="s">
        <v>86</v>
      </c>
      <c r="C45" s="314">
        <v>43140</v>
      </c>
      <c r="D45" s="3">
        <v>1067</v>
      </c>
      <c r="E45" s="5" t="s">
        <v>22</v>
      </c>
      <c r="F45" s="5"/>
      <c r="G45" s="5"/>
      <c r="H45" s="5"/>
      <c r="I45" s="181"/>
      <c r="J45" s="5"/>
      <c r="K45" s="5"/>
      <c r="L45" s="5">
        <v>1021480137.3636363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7"/>
      <c r="AA45" s="12"/>
      <c r="AB45" s="12"/>
      <c r="AC45" s="12"/>
      <c r="AD45" s="12"/>
      <c r="AE45" s="42">
        <f t="shared" si="0"/>
        <v>1021480137.3636363</v>
      </c>
    </row>
    <row r="46" spans="2:31">
      <c r="B46" s="312"/>
      <c r="C46" s="315"/>
      <c r="D46" s="3">
        <v>1067</v>
      </c>
      <c r="E46" s="5" t="s">
        <v>52</v>
      </c>
      <c r="F46" s="5"/>
      <c r="G46" s="5"/>
      <c r="H46" s="5"/>
      <c r="I46" s="181"/>
      <c r="J46" s="5"/>
      <c r="K46" s="5"/>
      <c r="L46" s="5"/>
      <c r="M46" s="5"/>
      <c r="N46" s="5"/>
      <c r="O46" s="5">
        <v>10270799796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7"/>
      <c r="AA46" s="12"/>
      <c r="AB46" s="12"/>
      <c r="AC46" s="12"/>
      <c r="AD46" s="12"/>
      <c r="AE46" s="42">
        <f t="shared" si="0"/>
        <v>10270799796</v>
      </c>
    </row>
    <row r="47" spans="2:31">
      <c r="B47" s="313"/>
      <c r="C47" s="316"/>
      <c r="D47" s="3">
        <v>1067</v>
      </c>
      <c r="E47" s="5" t="s">
        <v>87</v>
      </c>
      <c r="F47" s="5">
        <v>952210006</v>
      </c>
      <c r="G47" s="5">
        <v>143886017</v>
      </c>
      <c r="H47" s="5">
        <v>508111802</v>
      </c>
      <c r="I47" s="181">
        <v>245920026</v>
      </c>
      <c r="J47" s="5">
        <v>432477507</v>
      </c>
      <c r="K47" s="5">
        <v>117670894</v>
      </c>
      <c r="L47" s="5"/>
      <c r="M47" s="5"/>
      <c r="N47" s="5"/>
      <c r="O47" s="5"/>
      <c r="P47" s="5">
        <v>1086206</v>
      </c>
      <c r="Q47" s="5"/>
      <c r="R47" s="5"/>
      <c r="S47" s="5"/>
      <c r="T47" s="5"/>
      <c r="U47" s="5"/>
      <c r="V47" s="5"/>
      <c r="W47" s="5"/>
      <c r="X47" s="5"/>
      <c r="Y47" s="5"/>
      <c r="Z47" s="7"/>
      <c r="AA47" s="12"/>
      <c r="AB47" s="12"/>
      <c r="AC47" s="12"/>
      <c r="AD47" s="12"/>
      <c r="AE47" s="42">
        <f t="shared" si="0"/>
        <v>2401362458</v>
      </c>
    </row>
    <row r="48" spans="2:31">
      <c r="B48" s="34" t="s">
        <v>100</v>
      </c>
      <c r="C48" s="32">
        <v>43174</v>
      </c>
      <c r="D48" s="10">
        <v>1080</v>
      </c>
      <c r="E48" s="21" t="s">
        <v>167</v>
      </c>
      <c r="F48" s="5"/>
      <c r="G48" s="5"/>
      <c r="H48" s="5"/>
      <c r="I48" s="5"/>
      <c r="J48" s="5"/>
      <c r="K48" s="5"/>
      <c r="L48" s="182"/>
      <c r="M48" s="5">
        <v>818833252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7"/>
      <c r="AA48" s="12"/>
      <c r="AB48" s="12"/>
      <c r="AC48" s="12"/>
      <c r="AD48" s="12"/>
      <c r="AE48" s="42">
        <f t="shared" si="0"/>
        <v>818833252</v>
      </c>
    </row>
    <row r="49" spans="2:31">
      <c r="B49" s="18" t="s">
        <v>116</v>
      </c>
      <c r="C49" s="19">
        <v>43203</v>
      </c>
      <c r="D49" s="10">
        <v>1055</v>
      </c>
      <c r="E49" s="21" t="s">
        <v>168</v>
      </c>
      <c r="F49" s="182"/>
      <c r="G49" s="182"/>
      <c r="H49" s="182"/>
      <c r="I49" s="182"/>
      <c r="J49" s="182"/>
      <c r="K49" s="182"/>
      <c r="M49" s="182"/>
      <c r="N49" s="182"/>
      <c r="O49" s="182">
        <v>2511100000</v>
      </c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7"/>
      <c r="AA49" s="12"/>
      <c r="AB49" s="12"/>
      <c r="AC49" s="12"/>
      <c r="AD49" s="12"/>
      <c r="AE49" s="42">
        <f t="shared" si="0"/>
        <v>2511100000</v>
      </c>
    </row>
    <row r="50" spans="2:31">
      <c r="B50" s="18" t="s">
        <v>118</v>
      </c>
      <c r="C50" s="19">
        <v>43213</v>
      </c>
      <c r="D50" s="10">
        <v>1071.5</v>
      </c>
      <c r="E50" s="21" t="s">
        <v>169</v>
      </c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82"/>
      <c r="Q50" s="182">
        <v>4486222809.4592466</v>
      </c>
      <c r="R50" s="182"/>
      <c r="S50" s="182"/>
      <c r="T50" s="182"/>
      <c r="U50" s="182"/>
      <c r="V50" s="182"/>
      <c r="W50" s="182"/>
      <c r="X50" s="182"/>
      <c r="Y50" s="182">
        <v>300000000</v>
      </c>
      <c r="Z50" s="7"/>
      <c r="AA50" s="12"/>
      <c r="AB50" s="12"/>
      <c r="AC50" s="12"/>
      <c r="AD50" s="12"/>
      <c r="AE50" s="42">
        <f t="shared" si="0"/>
        <v>4786222809.4592466</v>
      </c>
    </row>
    <row r="51" spans="2:31">
      <c r="B51" s="18" t="s">
        <v>126</v>
      </c>
      <c r="C51" s="32">
        <v>43255</v>
      </c>
      <c r="D51" s="10">
        <v>1077</v>
      </c>
      <c r="E51" s="21" t="s">
        <v>170</v>
      </c>
      <c r="F51" s="182"/>
      <c r="G51" s="182"/>
      <c r="H51" s="182"/>
      <c r="I51" s="182"/>
      <c r="J51" s="182"/>
      <c r="K51" s="182"/>
      <c r="L51" s="182">
        <v>740000000</v>
      </c>
      <c r="M51" s="182"/>
      <c r="N51" s="182">
        <v>148411723.30547947</v>
      </c>
      <c r="O51" s="182">
        <v>2548480609.1057534</v>
      </c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7"/>
      <c r="AA51" s="12"/>
      <c r="AB51" s="12"/>
      <c r="AC51" s="12"/>
      <c r="AD51" s="12"/>
      <c r="AE51" s="42">
        <f t="shared" si="0"/>
        <v>3436892332.4112329</v>
      </c>
    </row>
    <row r="52" spans="2:31">
      <c r="B52" s="18" t="s">
        <v>126</v>
      </c>
      <c r="C52" s="32">
        <v>43255</v>
      </c>
      <c r="D52" s="10">
        <v>1077</v>
      </c>
      <c r="E52" s="21" t="s">
        <v>171</v>
      </c>
      <c r="F52" s="182">
        <v>457091724</v>
      </c>
      <c r="G52" s="182">
        <v>1464720</v>
      </c>
      <c r="H52" s="182">
        <v>505908903</v>
      </c>
      <c r="I52" s="182">
        <v>224362794</v>
      </c>
      <c r="J52" s="182">
        <v>171457323</v>
      </c>
      <c r="K52" s="182">
        <v>79750773</v>
      </c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7"/>
      <c r="AA52" s="12"/>
      <c r="AB52" s="12"/>
      <c r="AC52" s="12"/>
      <c r="AD52" s="12"/>
      <c r="AE52" s="42">
        <f t="shared" si="0"/>
        <v>1440036237</v>
      </c>
    </row>
    <row r="53" spans="2:31">
      <c r="B53" s="18" t="s">
        <v>129</v>
      </c>
      <c r="C53" s="32">
        <v>43280</v>
      </c>
      <c r="D53" s="10">
        <v>1075</v>
      </c>
      <c r="E53" s="21" t="s">
        <v>172</v>
      </c>
      <c r="F53" s="182"/>
      <c r="G53" s="182"/>
      <c r="H53" s="182"/>
      <c r="I53" s="182"/>
      <c r="J53" s="182"/>
      <c r="K53" s="182"/>
      <c r="L53" s="182"/>
      <c r="M53" s="182"/>
      <c r="N53" s="182">
        <v>826750000</v>
      </c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7"/>
      <c r="AA53" s="12"/>
      <c r="AB53" s="12"/>
      <c r="AC53" s="12"/>
      <c r="AD53" s="12"/>
      <c r="AE53" s="42">
        <f t="shared" si="0"/>
        <v>826750000</v>
      </c>
    </row>
    <row r="54" spans="2:31">
      <c r="B54" s="18" t="s">
        <v>130</v>
      </c>
      <c r="C54" s="32">
        <v>43307</v>
      </c>
      <c r="D54" s="10">
        <v>1111</v>
      </c>
      <c r="E54" s="21" t="s">
        <v>173</v>
      </c>
      <c r="F54" s="182"/>
      <c r="G54" s="182"/>
      <c r="H54" s="182"/>
      <c r="I54" s="182"/>
      <c r="J54" s="182"/>
      <c r="K54" s="182"/>
      <c r="L54" s="182">
        <v>548900000</v>
      </c>
      <c r="M54" s="182">
        <v>500000000</v>
      </c>
      <c r="N54" s="182"/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7"/>
      <c r="AA54" s="12"/>
      <c r="AB54" s="12"/>
      <c r="AC54" s="12"/>
      <c r="AD54" s="12"/>
      <c r="AE54" s="42">
        <f t="shared" si="0"/>
        <v>1048900000</v>
      </c>
    </row>
    <row r="55" spans="2:31">
      <c r="B55" s="311" t="s">
        <v>132</v>
      </c>
      <c r="C55" s="343">
        <v>43321</v>
      </c>
      <c r="D55" s="10">
        <v>1125</v>
      </c>
      <c r="E55" s="21" t="s">
        <v>168</v>
      </c>
      <c r="F55" s="182"/>
      <c r="G55" s="182"/>
      <c r="H55" s="182"/>
      <c r="I55" s="182"/>
      <c r="J55" s="182"/>
      <c r="K55" s="182"/>
      <c r="L55" s="182"/>
      <c r="M55" s="182"/>
      <c r="N55" s="182"/>
      <c r="O55" s="182">
        <v>11722401790.55452</v>
      </c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7"/>
      <c r="AA55" s="12"/>
      <c r="AB55" s="12"/>
      <c r="AC55" s="12"/>
      <c r="AD55" s="12"/>
      <c r="AE55" s="42">
        <f t="shared" si="0"/>
        <v>11722401790.55452</v>
      </c>
    </row>
    <row r="56" spans="2:31">
      <c r="B56" s="312"/>
      <c r="C56" s="344"/>
      <c r="D56" s="10">
        <v>1118</v>
      </c>
      <c r="E56" s="21" t="s">
        <v>174</v>
      </c>
      <c r="F56" s="182"/>
      <c r="G56" s="182"/>
      <c r="H56" s="182">
        <v>521316692</v>
      </c>
      <c r="I56" s="182"/>
      <c r="J56" s="182">
        <f>J239*$D$56</f>
        <v>188118034</v>
      </c>
      <c r="K56" s="182">
        <v>4066166</v>
      </c>
      <c r="L56" s="182">
        <v>100473542</v>
      </c>
      <c r="M56" s="182">
        <v>20515300</v>
      </c>
      <c r="N56" s="182">
        <v>1249705990</v>
      </c>
      <c r="O56" s="182">
        <v>2285461438</v>
      </c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7"/>
      <c r="AA56" s="12"/>
      <c r="AB56" s="12"/>
      <c r="AC56" s="12"/>
      <c r="AD56" s="12"/>
      <c r="AE56" s="42">
        <f t="shared" si="0"/>
        <v>4369657162</v>
      </c>
    </row>
    <row r="57" spans="2:31">
      <c r="B57" s="313"/>
      <c r="C57" s="345"/>
      <c r="D57" s="10">
        <v>1125</v>
      </c>
      <c r="E57" s="21" t="s">
        <v>175</v>
      </c>
      <c r="F57" s="182">
        <f>F240*$D$56</f>
        <v>627198</v>
      </c>
      <c r="G57" s="182">
        <f>G240*$D$56</f>
        <v>4749264</v>
      </c>
      <c r="H57" s="182">
        <f>H240*$D$56</f>
        <v>0</v>
      </c>
      <c r="I57" s="182">
        <f>I240*$D$56</f>
        <v>0</v>
      </c>
      <c r="J57" s="230">
        <f>J240*$D$56</f>
        <v>-6507878</v>
      </c>
      <c r="K57" s="182">
        <f t="shared" ref="K57:Q57" si="2">K240*$D$56</f>
        <v>0</v>
      </c>
      <c r="L57" s="182">
        <f t="shared" si="2"/>
        <v>0</v>
      </c>
      <c r="M57" s="182">
        <f t="shared" si="2"/>
        <v>0</v>
      </c>
      <c r="N57" s="182">
        <f t="shared" si="2"/>
        <v>0</v>
      </c>
      <c r="O57" s="182">
        <f t="shared" si="2"/>
        <v>0</v>
      </c>
      <c r="P57" s="182">
        <f t="shared" si="2"/>
        <v>1131416</v>
      </c>
      <c r="Q57" s="182">
        <f t="shared" si="2"/>
        <v>0</v>
      </c>
      <c r="R57" s="182"/>
      <c r="S57" s="182"/>
      <c r="T57" s="182"/>
      <c r="U57" s="182"/>
      <c r="V57" s="182"/>
      <c r="W57" s="182"/>
      <c r="X57" s="182"/>
      <c r="Y57" s="182">
        <f>Y240*$D$56</f>
        <v>0</v>
      </c>
      <c r="Z57" s="7"/>
      <c r="AA57" s="12"/>
      <c r="AB57" s="12"/>
      <c r="AC57" s="12"/>
      <c r="AD57" s="12"/>
      <c r="AE57" s="42">
        <f t="shared" si="0"/>
        <v>0</v>
      </c>
    </row>
    <row r="58" spans="2:31">
      <c r="B58" s="311" t="s">
        <v>166</v>
      </c>
      <c r="C58" s="343">
        <v>43383</v>
      </c>
      <c r="D58" s="10">
        <v>1107.06</v>
      </c>
      <c r="E58" s="21" t="s">
        <v>176</v>
      </c>
      <c r="F58" s="182"/>
      <c r="G58" s="182"/>
      <c r="H58" s="182"/>
      <c r="I58" s="182">
        <v>4400000000</v>
      </c>
      <c r="J58" s="182"/>
      <c r="K58" s="182">
        <v>1500000000</v>
      </c>
      <c r="L58" s="182">
        <v>3500000000</v>
      </c>
      <c r="M58" s="182">
        <v>4000000000</v>
      </c>
      <c r="N58" s="182"/>
      <c r="O58" s="182">
        <v>4747271018.4569864</v>
      </c>
      <c r="P58" s="182"/>
      <c r="Q58" s="182">
        <v>7497779991.8356161</v>
      </c>
      <c r="R58" s="182"/>
      <c r="S58" s="182"/>
      <c r="T58" s="182"/>
      <c r="U58" s="182"/>
      <c r="V58" s="182"/>
      <c r="W58" s="182"/>
      <c r="X58" s="182"/>
      <c r="Y58" s="182"/>
      <c r="Z58" s="7"/>
      <c r="AA58" s="12"/>
      <c r="AB58" s="12"/>
      <c r="AC58" s="12"/>
      <c r="AD58" s="12"/>
      <c r="AE58" s="42">
        <f t="shared" si="0"/>
        <v>25645051010.292603</v>
      </c>
    </row>
    <row r="59" spans="2:31">
      <c r="B59" s="313"/>
      <c r="C59" s="345"/>
      <c r="D59" s="10">
        <v>1107.06</v>
      </c>
      <c r="E59" s="21" t="s">
        <v>177</v>
      </c>
      <c r="F59" s="182"/>
      <c r="G59" s="182"/>
      <c r="H59" s="182"/>
      <c r="I59" s="182"/>
      <c r="J59" s="182">
        <v>230000000</v>
      </c>
      <c r="K59" s="182">
        <v>230000000</v>
      </c>
      <c r="L59" s="182">
        <v>230000000</v>
      </c>
      <c r="M59" s="182">
        <v>230000000</v>
      </c>
      <c r="N59" s="182">
        <v>230000000</v>
      </c>
      <c r="O59" s="182">
        <v>230000000</v>
      </c>
      <c r="P59" s="182"/>
      <c r="Q59" s="182">
        <v>230000000</v>
      </c>
      <c r="R59" s="182"/>
      <c r="S59" s="182"/>
      <c r="T59" s="182"/>
      <c r="U59" s="182"/>
      <c r="V59" s="182"/>
      <c r="W59" s="182"/>
      <c r="X59" s="182"/>
      <c r="Y59" s="182"/>
      <c r="Z59" s="7"/>
      <c r="AA59" s="12"/>
      <c r="AB59" s="12"/>
      <c r="AC59" s="12"/>
      <c r="AD59" s="12"/>
      <c r="AE59" s="42">
        <f t="shared" si="0"/>
        <v>1610000000</v>
      </c>
    </row>
    <row r="60" spans="2:31">
      <c r="B60" s="370" t="s">
        <v>182</v>
      </c>
      <c r="C60" s="343">
        <v>43412</v>
      </c>
      <c r="D60" s="10">
        <v>1134</v>
      </c>
      <c r="E60" s="21" t="s">
        <v>180</v>
      </c>
      <c r="F60" s="182">
        <v>0</v>
      </c>
      <c r="G60" s="182">
        <v>-7334688430</v>
      </c>
      <c r="H60" s="182">
        <v>0</v>
      </c>
      <c r="I60" s="182">
        <v>0</v>
      </c>
      <c r="J60" s="182">
        <v>0</v>
      </c>
      <c r="K60" s="182">
        <v>0</v>
      </c>
      <c r="L60" s="182">
        <v>0</v>
      </c>
      <c r="M60" s="182">
        <v>0</v>
      </c>
      <c r="N60" s="182">
        <v>0</v>
      </c>
      <c r="O60" s="182">
        <v>0</v>
      </c>
      <c r="P60" s="182">
        <v>0</v>
      </c>
      <c r="Q60" s="182">
        <v>0</v>
      </c>
      <c r="R60" s="182">
        <v>0</v>
      </c>
      <c r="S60" s="182">
        <v>0</v>
      </c>
      <c r="T60" s="182"/>
      <c r="U60" s="182"/>
      <c r="V60" s="182"/>
      <c r="W60" s="182"/>
      <c r="X60" s="182"/>
      <c r="Y60" s="182">
        <v>0</v>
      </c>
      <c r="Z60" s="7"/>
      <c r="AA60" s="12"/>
      <c r="AB60" s="12"/>
      <c r="AC60" s="12"/>
      <c r="AD60" s="12"/>
      <c r="AE60" s="42">
        <f t="shared" si="0"/>
        <v>-7334688430</v>
      </c>
    </row>
    <row r="61" spans="2:31">
      <c r="B61" s="371"/>
      <c r="C61" s="344"/>
      <c r="D61" s="10">
        <v>1134</v>
      </c>
      <c r="E61" s="21" t="s">
        <v>179</v>
      </c>
      <c r="F61" s="182">
        <v>377843130</v>
      </c>
      <c r="G61" s="182">
        <v>56934738</v>
      </c>
      <c r="H61" s="182">
        <v>531279000</v>
      </c>
      <c r="I61" s="183">
        <v>374141754</v>
      </c>
      <c r="J61" s="182">
        <v>184216032</v>
      </c>
      <c r="K61" s="183">
        <v>111153546</v>
      </c>
      <c r="L61" s="183">
        <v>928899090</v>
      </c>
      <c r="M61" s="182">
        <v>813884274</v>
      </c>
      <c r="N61" s="182">
        <v>1226154510</v>
      </c>
      <c r="O61" s="182">
        <v>1729017738</v>
      </c>
      <c r="P61" s="182">
        <v>1164618</v>
      </c>
      <c r="Q61" s="182">
        <v>0</v>
      </c>
      <c r="R61" s="182">
        <v>0</v>
      </c>
      <c r="S61" s="182">
        <v>0</v>
      </c>
      <c r="T61" s="182"/>
      <c r="U61" s="182"/>
      <c r="V61" s="182"/>
      <c r="W61" s="182"/>
      <c r="X61" s="182"/>
      <c r="Y61" s="182">
        <v>0</v>
      </c>
      <c r="Z61" s="7"/>
      <c r="AA61" s="12"/>
      <c r="AB61" s="12"/>
      <c r="AC61" s="12"/>
      <c r="AD61" s="12"/>
      <c r="AE61" s="42">
        <f t="shared" si="0"/>
        <v>6334688430</v>
      </c>
    </row>
    <row r="62" spans="2:31">
      <c r="B62" s="372"/>
      <c r="C62" s="345"/>
      <c r="D62" s="10">
        <v>1134</v>
      </c>
      <c r="E62" s="21" t="s">
        <v>181</v>
      </c>
      <c r="F62" s="182">
        <v>0</v>
      </c>
      <c r="G62" s="182">
        <v>0</v>
      </c>
      <c r="H62" s="182">
        <v>0</v>
      </c>
      <c r="I62" s="183">
        <v>1000000000</v>
      </c>
      <c r="J62" s="182">
        <v>0</v>
      </c>
      <c r="K62" s="182">
        <v>0</v>
      </c>
      <c r="L62" s="182">
        <v>0</v>
      </c>
      <c r="M62" s="182">
        <v>0</v>
      </c>
      <c r="N62" s="182">
        <v>0</v>
      </c>
      <c r="O62" s="182">
        <v>0</v>
      </c>
      <c r="P62" s="182">
        <v>0</v>
      </c>
      <c r="Q62" s="182">
        <v>0</v>
      </c>
      <c r="R62" s="182">
        <v>0</v>
      </c>
      <c r="S62" s="182">
        <v>0</v>
      </c>
      <c r="T62" s="182"/>
      <c r="U62" s="182"/>
      <c r="V62" s="182"/>
      <c r="W62" s="182"/>
      <c r="X62" s="182"/>
      <c r="Y62" s="182">
        <v>0</v>
      </c>
      <c r="Z62" s="7"/>
      <c r="AA62" s="12"/>
      <c r="AB62" s="12"/>
      <c r="AC62" s="12"/>
      <c r="AD62" s="12"/>
      <c r="AE62" s="42">
        <f t="shared" si="0"/>
        <v>1000000000</v>
      </c>
    </row>
    <row r="63" spans="2:31">
      <c r="B63" s="34" t="s">
        <v>183</v>
      </c>
      <c r="C63" s="32">
        <v>43426</v>
      </c>
      <c r="D63" s="10">
        <v>1118</v>
      </c>
      <c r="E63" s="21" t="s">
        <v>185</v>
      </c>
      <c r="F63" s="182">
        <v>0</v>
      </c>
      <c r="G63" s="182">
        <v>-182704678</v>
      </c>
      <c r="H63" s="182">
        <v>0</v>
      </c>
      <c r="I63" s="184">
        <v>1817295322</v>
      </c>
      <c r="J63" s="182">
        <v>0</v>
      </c>
      <c r="K63" s="182">
        <v>0</v>
      </c>
      <c r="L63" s="182">
        <v>2000000000</v>
      </c>
      <c r="M63" s="182">
        <v>1000000000</v>
      </c>
      <c r="N63" s="182">
        <v>0</v>
      </c>
      <c r="O63" s="182">
        <v>0</v>
      </c>
      <c r="P63" s="182">
        <v>0</v>
      </c>
      <c r="Q63" s="182">
        <v>0</v>
      </c>
      <c r="R63" s="182">
        <v>2000000000</v>
      </c>
      <c r="S63" s="182">
        <v>0</v>
      </c>
      <c r="T63" s="182"/>
      <c r="U63" s="182"/>
      <c r="V63" s="182"/>
      <c r="W63" s="182"/>
      <c r="X63" s="182"/>
      <c r="Y63" s="182">
        <v>0</v>
      </c>
      <c r="Z63" s="7"/>
      <c r="AA63" s="12"/>
      <c r="AB63" s="12"/>
      <c r="AC63" s="12"/>
      <c r="AD63" s="12"/>
      <c r="AE63" s="42">
        <f t="shared" si="0"/>
        <v>6634590644</v>
      </c>
    </row>
    <row r="64" spans="2:31">
      <c r="B64" s="34" t="s">
        <v>187</v>
      </c>
      <c r="C64" s="32">
        <v>43440</v>
      </c>
      <c r="D64" s="10">
        <v>1127</v>
      </c>
      <c r="E64" s="21" t="s">
        <v>188</v>
      </c>
      <c r="F64" s="182">
        <v>0</v>
      </c>
      <c r="G64" s="182">
        <v>0</v>
      </c>
      <c r="H64" s="182">
        <v>0</v>
      </c>
      <c r="I64" s="184">
        <v>0</v>
      </c>
      <c r="J64" s="182">
        <v>0</v>
      </c>
      <c r="K64" s="182">
        <v>1220000000</v>
      </c>
      <c r="L64" s="182">
        <v>0</v>
      </c>
      <c r="M64" s="182">
        <v>0</v>
      </c>
      <c r="N64" s="182">
        <v>0</v>
      </c>
      <c r="O64" s="182">
        <v>8627822969.7895889</v>
      </c>
      <c r="P64" s="182">
        <v>0</v>
      </c>
      <c r="Q64" s="182">
        <v>35540710000</v>
      </c>
      <c r="R64" s="182">
        <v>0</v>
      </c>
      <c r="S64" s="182">
        <v>0</v>
      </c>
      <c r="T64" s="182"/>
      <c r="U64" s="182"/>
      <c r="V64" s="182"/>
      <c r="W64" s="182"/>
      <c r="X64" s="182"/>
      <c r="Y64" s="182">
        <v>300000000</v>
      </c>
      <c r="Z64" s="7"/>
      <c r="AA64" s="12"/>
      <c r="AB64" s="12"/>
      <c r="AC64" s="12"/>
      <c r="AD64" s="12"/>
      <c r="AE64" s="42">
        <f t="shared" si="0"/>
        <v>45688532969.789589</v>
      </c>
    </row>
    <row r="65" spans="2:31">
      <c r="B65" s="34" t="s">
        <v>189</v>
      </c>
      <c r="C65" s="32">
        <v>43446</v>
      </c>
      <c r="D65" s="10">
        <v>1120.2</v>
      </c>
      <c r="E65" s="21" t="s">
        <v>190</v>
      </c>
      <c r="F65" s="182">
        <v>0</v>
      </c>
      <c r="G65" s="182">
        <v>0</v>
      </c>
      <c r="H65" s="182">
        <v>0</v>
      </c>
      <c r="I65" s="182">
        <v>0</v>
      </c>
      <c r="J65" s="182">
        <v>0</v>
      </c>
      <c r="K65" s="182">
        <v>0</v>
      </c>
      <c r="L65" s="182">
        <v>0</v>
      </c>
      <c r="M65" s="182">
        <v>0</v>
      </c>
      <c r="N65" s="182">
        <v>0</v>
      </c>
      <c r="O65" s="182">
        <v>0</v>
      </c>
      <c r="P65" s="182">
        <v>0</v>
      </c>
      <c r="Q65" s="182">
        <v>0</v>
      </c>
      <c r="R65" s="182">
        <v>0</v>
      </c>
      <c r="S65" s="182">
        <v>6933000000</v>
      </c>
      <c r="T65" s="182"/>
      <c r="U65" s="182"/>
      <c r="V65" s="182"/>
      <c r="W65" s="182"/>
      <c r="X65" s="182"/>
      <c r="Y65" s="182">
        <v>300000000</v>
      </c>
      <c r="Z65" s="7"/>
      <c r="AA65" s="12"/>
      <c r="AB65" s="12"/>
      <c r="AC65" s="12"/>
      <c r="AD65" s="12"/>
      <c r="AE65" s="42">
        <f t="shared" si="0"/>
        <v>7233000000</v>
      </c>
    </row>
    <row r="66" spans="2:31" ht="27">
      <c r="B66" s="103" t="s">
        <v>200</v>
      </c>
      <c r="C66" s="32">
        <v>43446</v>
      </c>
      <c r="D66" s="10"/>
      <c r="E66" s="21" t="s">
        <v>178</v>
      </c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>
        <v>335100000</v>
      </c>
      <c r="R66" s="182"/>
      <c r="S66" s="182"/>
      <c r="T66" s="182"/>
      <c r="U66" s="182"/>
      <c r="V66" s="182"/>
      <c r="W66" s="182"/>
      <c r="X66" s="182"/>
      <c r="Y66" s="182"/>
      <c r="Z66" s="7"/>
      <c r="AA66" s="12"/>
      <c r="AB66" s="12"/>
      <c r="AC66" s="12"/>
      <c r="AD66" s="12"/>
      <c r="AE66" s="42">
        <f t="shared" si="0"/>
        <v>335100000</v>
      </c>
    </row>
    <row r="67" spans="2:31">
      <c r="B67" s="34" t="s">
        <v>212</v>
      </c>
      <c r="C67" s="32">
        <v>43469</v>
      </c>
      <c r="D67" s="10">
        <v>1124</v>
      </c>
      <c r="E67" s="21" t="s">
        <v>213</v>
      </c>
      <c r="F67" s="182"/>
      <c r="G67" s="182"/>
      <c r="H67" s="182"/>
      <c r="I67" s="182"/>
      <c r="J67" s="182"/>
      <c r="K67" s="182"/>
      <c r="L67" s="182"/>
      <c r="M67" s="182"/>
      <c r="N67" s="182">
        <v>5050000000</v>
      </c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7"/>
      <c r="AA67" s="12"/>
      <c r="AB67" s="12"/>
      <c r="AC67" s="12"/>
      <c r="AD67" s="12"/>
      <c r="AE67" s="42">
        <f t="shared" si="0"/>
        <v>5050000000</v>
      </c>
    </row>
    <row r="68" spans="2:31">
      <c r="B68" s="34" t="s">
        <v>214</v>
      </c>
      <c r="C68" s="32">
        <v>43476</v>
      </c>
      <c r="D68" s="10">
        <v>1117</v>
      </c>
      <c r="E68" s="21" t="s">
        <v>215</v>
      </c>
      <c r="F68" s="182"/>
      <c r="G68" s="182"/>
      <c r="H68" s="182"/>
      <c r="I68" s="182"/>
      <c r="J68" s="182"/>
      <c r="K68" s="182">
        <v>347768675</v>
      </c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7"/>
      <c r="AA68" s="12"/>
      <c r="AB68" s="12"/>
      <c r="AC68" s="12"/>
      <c r="AD68" s="12"/>
      <c r="AE68" s="42">
        <f t="shared" ref="AE68:AE131" si="3">SUM(F68:Y68)</f>
        <v>347768675</v>
      </c>
    </row>
    <row r="69" spans="2:31">
      <c r="B69" s="34"/>
      <c r="C69" s="32"/>
      <c r="D69" s="10"/>
      <c r="E69" s="21" t="s">
        <v>216</v>
      </c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82">
        <v>230000000</v>
      </c>
      <c r="S69" s="182">
        <v>230000000</v>
      </c>
      <c r="T69" s="182"/>
      <c r="U69" s="182"/>
      <c r="V69" s="182"/>
      <c r="W69" s="182"/>
      <c r="X69" s="182"/>
      <c r="Y69" s="182"/>
      <c r="Z69" s="7"/>
      <c r="AA69" s="12"/>
      <c r="AB69" s="12"/>
      <c r="AC69" s="12"/>
      <c r="AD69" s="12"/>
      <c r="AE69" s="42">
        <f t="shared" si="3"/>
        <v>460000000</v>
      </c>
    </row>
    <row r="70" spans="2:31">
      <c r="B70" s="311" t="s">
        <v>217</v>
      </c>
      <c r="C70" s="32">
        <v>43496</v>
      </c>
      <c r="D70" s="10">
        <v>1120</v>
      </c>
      <c r="E70" s="21" t="s">
        <v>218</v>
      </c>
      <c r="F70" s="182"/>
      <c r="G70" s="182"/>
      <c r="H70" s="182"/>
      <c r="I70" s="182"/>
      <c r="J70" s="182"/>
      <c r="K70" s="182"/>
      <c r="L70" s="182">
        <v>1164000000</v>
      </c>
      <c r="M70" s="182">
        <v>1000000000</v>
      </c>
      <c r="N70" s="182">
        <v>5573400000</v>
      </c>
      <c r="O70" s="182">
        <v>2618796854</v>
      </c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7"/>
      <c r="AA70" s="12"/>
      <c r="AB70" s="12"/>
      <c r="AC70" s="12"/>
      <c r="AD70" s="12"/>
      <c r="AE70" s="42">
        <f t="shared" si="3"/>
        <v>10356196854</v>
      </c>
    </row>
    <row r="71" spans="2:31">
      <c r="B71" s="312"/>
      <c r="C71" s="32">
        <v>43496</v>
      </c>
      <c r="D71" s="10">
        <v>1120</v>
      </c>
      <c r="E71" s="21" t="s">
        <v>219</v>
      </c>
      <c r="F71" s="182">
        <v>305737600</v>
      </c>
      <c r="G71" s="182">
        <v>42117600</v>
      </c>
      <c r="H71" s="182"/>
      <c r="I71" s="182">
        <v>166331200</v>
      </c>
      <c r="J71" s="182">
        <f>262084480</f>
        <v>262084480</v>
      </c>
      <c r="K71" s="182">
        <v>30275840</v>
      </c>
      <c r="L71" s="182">
        <v>111722240</v>
      </c>
      <c r="M71" s="182">
        <v>119716800</v>
      </c>
      <c r="N71" s="182">
        <v>442958880</v>
      </c>
      <c r="O71" s="182">
        <v>1370760440</v>
      </c>
      <c r="P71" s="182">
        <f>1030*1120</f>
        <v>1153600</v>
      </c>
      <c r="Q71" s="182">
        <v>1845898880</v>
      </c>
      <c r="R71" s="182">
        <v>21414400</v>
      </c>
      <c r="S71" s="182">
        <v>82416320</v>
      </c>
      <c r="T71" s="182"/>
      <c r="U71" s="182"/>
      <c r="V71" s="182"/>
      <c r="W71" s="182"/>
      <c r="X71" s="182"/>
      <c r="Y71" s="182"/>
      <c r="Z71" s="7"/>
      <c r="AA71" s="12"/>
      <c r="AB71" s="12"/>
      <c r="AC71" s="12"/>
      <c r="AD71" s="12"/>
      <c r="AE71" s="42">
        <f t="shared" si="3"/>
        <v>4802588280</v>
      </c>
    </row>
    <row r="72" spans="2:31">
      <c r="B72" s="313"/>
      <c r="C72" s="32"/>
      <c r="D72" s="10"/>
      <c r="E72" s="21" t="s">
        <v>237</v>
      </c>
      <c r="F72" s="182"/>
      <c r="G72" s="182"/>
      <c r="H72" s="182"/>
      <c r="I72" s="182"/>
      <c r="J72" s="230">
        <f>-1030*1120</f>
        <v>-1153600</v>
      </c>
      <c r="K72" s="182"/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7"/>
      <c r="AA72" s="12"/>
      <c r="AB72" s="12"/>
      <c r="AC72" s="12"/>
      <c r="AD72" s="12"/>
      <c r="AE72" s="42">
        <f t="shared" si="3"/>
        <v>-1153600</v>
      </c>
    </row>
    <row r="73" spans="2:31">
      <c r="B73" s="34" t="s">
        <v>220</v>
      </c>
      <c r="C73" s="32">
        <v>43529</v>
      </c>
      <c r="D73" s="10">
        <v>1123.5</v>
      </c>
      <c r="E73" s="21" t="s">
        <v>21</v>
      </c>
      <c r="F73" s="182"/>
      <c r="G73" s="182"/>
      <c r="H73" s="182"/>
      <c r="I73" s="182"/>
      <c r="J73" s="182"/>
      <c r="K73" s="182">
        <v>2145000000</v>
      </c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7"/>
      <c r="AA73" s="12"/>
      <c r="AB73" s="12"/>
      <c r="AC73" s="12"/>
      <c r="AD73" s="12"/>
      <c r="AE73" s="42">
        <f t="shared" si="3"/>
        <v>2145000000</v>
      </c>
    </row>
    <row r="74" spans="2:31" ht="27">
      <c r="B74" s="103" t="s">
        <v>227</v>
      </c>
      <c r="C74" s="32">
        <v>43538</v>
      </c>
      <c r="D74" s="10">
        <v>1119.9000000000001</v>
      </c>
      <c r="E74" s="21" t="s">
        <v>228</v>
      </c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>
        <f>244463*1120</f>
        <v>273798560</v>
      </c>
      <c r="Z74" s="7"/>
      <c r="AA74" s="12"/>
      <c r="AB74" s="12"/>
      <c r="AC74" s="12"/>
      <c r="AD74" s="12"/>
      <c r="AE74" s="42">
        <f t="shared" si="3"/>
        <v>273798560</v>
      </c>
    </row>
    <row r="75" spans="2:31">
      <c r="B75" s="34" t="s">
        <v>223</v>
      </c>
      <c r="C75" s="32">
        <v>43539</v>
      </c>
      <c r="D75" s="10">
        <v>1119.9000000000001</v>
      </c>
      <c r="E75" s="21" t="s">
        <v>222</v>
      </c>
      <c r="F75" s="182"/>
      <c r="G75" s="182"/>
      <c r="H75" s="182"/>
      <c r="I75" s="182">
        <v>2400000000</v>
      </c>
      <c r="J75" s="182"/>
      <c r="K75" s="182"/>
      <c r="L75" s="182">
        <v>3500000000</v>
      </c>
      <c r="M75" s="182">
        <v>2031000000</v>
      </c>
      <c r="N75" s="182"/>
      <c r="O75" s="182"/>
      <c r="P75" s="182"/>
      <c r="Q75" s="182"/>
      <c r="R75" s="182"/>
      <c r="S75" s="182"/>
      <c r="T75" s="182">
        <v>2368741800</v>
      </c>
      <c r="U75" s="182"/>
      <c r="V75" s="182"/>
      <c r="W75" s="182"/>
      <c r="X75" s="182"/>
      <c r="Y75" s="182"/>
      <c r="Z75" s="7"/>
      <c r="AA75" s="12"/>
      <c r="AB75" s="12"/>
      <c r="AC75" s="12"/>
      <c r="AD75" s="12"/>
      <c r="AE75" s="42">
        <f t="shared" si="3"/>
        <v>10299741800</v>
      </c>
    </row>
    <row r="76" spans="2:31">
      <c r="B76" s="34" t="s">
        <v>225</v>
      </c>
      <c r="C76" s="32">
        <v>43565</v>
      </c>
      <c r="D76" s="10">
        <v>1129</v>
      </c>
      <c r="E76" s="21" t="s">
        <v>234</v>
      </c>
      <c r="F76" s="182"/>
      <c r="G76" s="182"/>
      <c r="H76" s="182"/>
      <c r="I76" s="182"/>
      <c r="J76" s="182"/>
      <c r="K76" s="182">
        <v>2359954521</v>
      </c>
      <c r="L76" s="182"/>
      <c r="M76" s="182"/>
      <c r="N76" s="182">
        <v>3747732311</v>
      </c>
      <c r="O76" s="182">
        <v>3419351430</v>
      </c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7"/>
      <c r="AA76" s="12"/>
      <c r="AB76" s="12"/>
      <c r="AC76" s="12"/>
      <c r="AD76" s="12"/>
      <c r="AE76" s="42">
        <f t="shared" si="3"/>
        <v>9527038262</v>
      </c>
    </row>
    <row r="77" spans="2:31">
      <c r="B77" s="311" t="s">
        <v>229</v>
      </c>
      <c r="C77" s="343">
        <v>43593</v>
      </c>
      <c r="D77" s="10">
        <v>1140.8</v>
      </c>
      <c r="E77" s="21" t="s">
        <v>230</v>
      </c>
      <c r="F77" s="5"/>
      <c r="G77" s="5"/>
      <c r="H77" s="5"/>
      <c r="I77" s="5"/>
      <c r="J77" s="5">
        <v>3500000000</v>
      </c>
      <c r="K77" s="5"/>
      <c r="L77" s="5"/>
      <c r="M77" s="5"/>
      <c r="N77" s="5"/>
      <c r="O77" s="5">
        <v>1000000000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7"/>
      <c r="AA77" s="12"/>
      <c r="AB77" s="12"/>
      <c r="AC77" s="12"/>
      <c r="AD77" s="12"/>
      <c r="AE77" s="42">
        <f t="shared" si="3"/>
        <v>4500000000</v>
      </c>
    </row>
    <row r="78" spans="2:31">
      <c r="B78" s="312"/>
      <c r="C78" s="345"/>
      <c r="D78" s="10">
        <v>1140.8</v>
      </c>
      <c r="E78" s="5" t="s">
        <v>232</v>
      </c>
      <c r="F78" s="5">
        <v>305559857.59999996</v>
      </c>
      <c r="G78" s="5">
        <v>41602694.399999999</v>
      </c>
      <c r="H78" s="5">
        <v>722071641.60000002</v>
      </c>
      <c r="I78" s="181">
        <v>166723356.79999998</v>
      </c>
      <c r="J78" s="5">
        <v>106707009.59999999</v>
      </c>
      <c r="K78" s="5">
        <f>32614331.2</f>
        <v>32614331.199999999</v>
      </c>
      <c r="L78" s="5">
        <v>117213777.59999999</v>
      </c>
      <c r="M78" s="5">
        <v>124567374.39999999</v>
      </c>
      <c r="N78" s="5">
        <v>238216152</v>
      </c>
      <c r="O78" s="5">
        <v>1085407315.2</v>
      </c>
      <c r="P78" s="5">
        <v>1153349</v>
      </c>
      <c r="Q78" s="5">
        <v>542742444.79999995</v>
      </c>
      <c r="R78" s="5">
        <v>219817329.59999999</v>
      </c>
      <c r="S78" s="5">
        <v>209061867.19999999</v>
      </c>
      <c r="T78" s="5">
        <v>1404324.8</v>
      </c>
      <c r="U78" s="5"/>
      <c r="V78" s="5"/>
      <c r="W78" s="5"/>
      <c r="X78" s="5"/>
      <c r="Y78" s="5"/>
      <c r="Z78" s="7"/>
      <c r="AA78" s="12"/>
      <c r="AB78" s="12"/>
      <c r="AC78" s="12"/>
      <c r="AD78" s="12"/>
      <c r="AE78" s="42">
        <f t="shared" si="3"/>
        <v>3914862825.7999997</v>
      </c>
    </row>
    <row r="79" spans="2:31">
      <c r="B79" s="313"/>
      <c r="C79" s="32"/>
      <c r="D79" s="10">
        <v>1140.8</v>
      </c>
      <c r="E79" s="21" t="s">
        <v>237</v>
      </c>
      <c r="F79" s="5"/>
      <c r="G79" s="5"/>
      <c r="H79" s="5"/>
      <c r="I79" s="181"/>
      <c r="J79" s="5"/>
      <c r="K79" s="231">
        <v>-1153349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7"/>
      <c r="AA79" s="12"/>
      <c r="AB79" s="12"/>
      <c r="AC79" s="12"/>
      <c r="AD79" s="12"/>
      <c r="AE79" s="42">
        <f t="shared" si="3"/>
        <v>-1153349</v>
      </c>
    </row>
    <row r="80" spans="2:31">
      <c r="B80" s="34" t="s">
        <v>235</v>
      </c>
      <c r="C80" s="32">
        <v>43613</v>
      </c>
      <c r="D80" s="10">
        <v>1187</v>
      </c>
      <c r="E80" s="5" t="s">
        <v>236</v>
      </c>
      <c r="F80" s="5"/>
      <c r="G80" s="5"/>
      <c r="H80" s="5"/>
      <c r="I80" s="181">
        <v>7000000000</v>
      </c>
      <c r="J80" s="5"/>
      <c r="K80" s="5"/>
      <c r="L80" s="5">
        <v>2122942336</v>
      </c>
      <c r="M80" s="5"/>
      <c r="N80" s="5"/>
      <c r="O80" s="5">
        <v>6000000000</v>
      </c>
      <c r="P80" s="5"/>
      <c r="Q80" s="5"/>
      <c r="R80" s="5"/>
      <c r="S80" s="5"/>
      <c r="T80" s="5">
        <v>2443000000</v>
      </c>
      <c r="U80" s="5"/>
      <c r="V80" s="5"/>
      <c r="W80" s="5"/>
      <c r="X80" s="5"/>
      <c r="Y80" s="5"/>
      <c r="Z80" s="7"/>
      <c r="AA80" s="12"/>
      <c r="AB80" s="12"/>
      <c r="AC80" s="12"/>
      <c r="AD80" s="12"/>
      <c r="AE80" s="42">
        <f t="shared" si="3"/>
        <v>17565942336</v>
      </c>
    </row>
    <row r="81" spans="2:31">
      <c r="B81" s="34" t="s">
        <v>238</v>
      </c>
      <c r="C81" s="32">
        <v>43635</v>
      </c>
      <c r="D81" s="10">
        <v>1179.5</v>
      </c>
      <c r="E81" s="5" t="s">
        <v>239</v>
      </c>
      <c r="F81" s="5"/>
      <c r="G81" s="5"/>
      <c r="H81" s="5"/>
      <c r="I81" s="181"/>
      <c r="J81" s="5">
        <v>4700000000</v>
      </c>
      <c r="K81" s="5"/>
      <c r="L81" s="5"/>
      <c r="M81" s="5"/>
      <c r="N81" s="5"/>
      <c r="O81" s="5"/>
      <c r="P81" s="5"/>
      <c r="Q81" s="5"/>
      <c r="R81" s="5"/>
      <c r="S81" s="5">
        <v>34465000000</v>
      </c>
      <c r="T81" s="5">
        <v>370000000</v>
      </c>
      <c r="U81" s="5"/>
      <c r="V81" s="5"/>
      <c r="W81" s="5"/>
      <c r="X81" s="5"/>
      <c r="Y81" s="5"/>
      <c r="Z81" s="7"/>
      <c r="AA81" s="12"/>
      <c r="AB81" s="12"/>
      <c r="AC81" s="12"/>
      <c r="AD81" s="12"/>
      <c r="AE81" s="42">
        <f t="shared" si="3"/>
        <v>39535000000</v>
      </c>
    </row>
    <row r="82" spans="2:31">
      <c r="B82" s="34" t="s">
        <v>240</v>
      </c>
      <c r="C82" s="32">
        <v>43661</v>
      </c>
      <c r="D82" s="10">
        <v>1155.4000000000001</v>
      </c>
      <c r="E82" s="5" t="s">
        <v>242</v>
      </c>
      <c r="F82" s="5"/>
      <c r="G82" s="5"/>
      <c r="H82" s="5"/>
      <c r="I82" s="181">
        <v>1900000000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41574000000</v>
      </c>
      <c r="U82" s="5"/>
      <c r="V82" s="5"/>
      <c r="W82" s="5"/>
      <c r="X82" s="5"/>
      <c r="Y82" s="5"/>
      <c r="Z82" s="7"/>
      <c r="AA82" s="12"/>
      <c r="AB82" s="12"/>
      <c r="AC82" s="12"/>
      <c r="AD82" s="12"/>
      <c r="AE82" s="42">
        <f t="shared" si="3"/>
        <v>43474000000</v>
      </c>
    </row>
    <row r="83" spans="2:31" s="138" customFormat="1">
      <c r="B83" s="361" t="s">
        <v>272</v>
      </c>
      <c r="C83" s="352">
        <v>43700</v>
      </c>
      <c r="D83" s="140">
        <v>1203.5</v>
      </c>
      <c r="E83" s="141" t="s">
        <v>267</v>
      </c>
      <c r="F83" s="185"/>
      <c r="G83" s="185"/>
      <c r="H83" s="185"/>
      <c r="I83" s="185"/>
      <c r="J83" s="186">
        <v>3000000000</v>
      </c>
      <c r="K83" s="185"/>
      <c r="L83" s="185"/>
      <c r="M83" s="185"/>
      <c r="N83" s="187"/>
      <c r="O83" s="188"/>
      <c r="P83" s="188"/>
      <c r="Q83" s="188"/>
      <c r="R83" s="141">
        <v>13750414086</v>
      </c>
      <c r="S83" s="188"/>
      <c r="T83" s="188"/>
      <c r="U83" s="188"/>
      <c r="V83" s="188"/>
      <c r="W83" s="188"/>
      <c r="X83" s="188"/>
      <c r="Y83" s="188"/>
      <c r="AA83" s="139"/>
      <c r="AB83" s="139"/>
      <c r="AC83" s="139"/>
      <c r="AD83" s="139"/>
      <c r="AE83" s="42">
        <f t="shared" si="3"/>
        <v>16750414086</v>
      </c>
    </row>
    <row r="84" spans="2:31" s="138" customFormat="1">
      <c r="B84" s="362"/>
      <c r="C84" s="353"/>
      <c r="D84" s="140">
        <v>1203.5</v>
      </c>
      <c r="E84" s="141" t="s">
        <v>268</v>
      </c>
      <c r="F84" s="186">
        <v>329904623.5</v>
      </c>
      <c r="G84" s="186">
        <v>45550068</v>
      </c>
      <c r="H84" s="186">
        <v>356061492.5</v>
      </c>
      <c r="I84" s="186">
        <v>66091406</v>
      </c>
      <c r="J84" s="186">
        <v>38835742</v>
      </c>
      <c r="K84" s="186">
        <v>93205057.5</v>
      </c>
      <c r="L84" s="186">
        <v>300583753</v>
      </c>
      <c r="M84" s="186">
        <v>169547876.5</v>
      </c>
      <c r="N84" s="189">
        <v>487950650.5</v>
      </c>
      <c r="O84" s="141">
        <v>1104386961</v>
      </c>
      <c r="P84" s="190">
        <f>1025*1203.5</f>
        <v>1233587.5</v>
      </c>
      <c r="Q84" s="141">
        <v>567820928</v>
      </c>
      <c r="R84" s="141">
        <v>210652216</v>
      </c>
      <c r="S84" s="141">
        <v>669143593</v>
      </c>
      <c r="T84" s="141">
        <v>450393026</v>
      </c>
      <c r="U84" s="188"/>
      <c r="V84" s="188"/>
      <c r="W84" s="188"/>
      <c r="X84" s="188"/>
      <c r="Y84" s="188"/>
      <c r="AA84" s="139"/>
      <c r="AB84" s="139"/>
      <c r="AC84" s="139"/>
      <c r="AD84" s="139"/>
      <c r="AE84" s="42">
        <f t="shared" si="3"/>
        <v>4891360981</v>
      </c>
    </row>
    <row r="85" spans="2:31" s="138" customFormat="1">
      <c r="B85" s="362"/>
      <c r="C85" s="353"/>
      <c r="D85" s="140"/>
      <c r="E85" s="142" t="s">
        <v>270</v>
      </c>
      <c r="F85" s="185"/>
      <c r="G85" s="185"/>
      <c r="H85" s="185"/>
      <c r="I85" s="185"/>
      <c r="J85" s="230">
        <f>-1025*1203.5</f>
        <v>-1233587.5</v>
      </c>
      <c r="K85" s="185"/>
      <c r="L85" s="185"/>
      <c r="M85" s="185"/>
      <c r="N85" s="187"/>
      <c r="O85" s="188"/>
      <c r="P85" s="187"/>
      <c r="Q85" s="188"/>
      <c r="R85" s="188"/>
      <c r="S85" s="188"/>
      <c r="T85" s="188"/>
      <c r="U85" s="188"/>
      <c r="V85" s="188"/>
      <c r="W85" s="188"/>
      <c r="X85" s="188"/>
      <c r="Y85" s="188"/>
      <c r="AA85" s="139"/>
      <c r="AB85" s="139"/>
      <c r="AC85" s="139"/>
      <c r="AD85" s="139"/>
      <c r="AE85" s="42">
        <f t="shared" si="3"/>
        <v>-1233587.5</v>
      </c>
    </row>
    <row r="86" spans="2:31" s="138" customFormat="1" ht="12.75" customHeight="1">
      <c r="B86" s="362"/>
      <c r="C86" s="353"/>
      <c r="D86" s="140">
        <v>1203.5</v>
      </c>
      <c r="E86" s="141" t="s">
        <v>269</v>
      </c>
      <c r="F86" s="186">
        <v>14286748.5</v>
      </c>
      <c r="G86" s="186">
        <v>14286748.5</v>
      </c>
      <c r="H86" s="186">
        <v>50017460</v>
      </c>
      <c r="I86" s="186">
        <v>53050280</v>
      </c>
      <c r="J86" s="191">
        <f>67691*1203.5</f>
        <v>81466118.5</v>
      </c>
      <c r="K86" s="186">
        <v>13082045</v>
      </c>
      <c r="L86" s="186">
        <v>12834124</v>
      </c>
      <c r="M86" s="186">
        <v>33852048</v>
      </c>
      <c r="N86" s="189">
        <v>13082045</v>
      </c>
      <c r="O86" s="141">
        <v>13082045</v>
      </c>
      <c r="P86" s="190">
        <f>40854*1203.5</f>
        <v>49167789</v>
      </c>
      <c r="Q86" s="141">
        <f>21335*1203.5</f>
        <v>25676672.5</v>
      </c>
      <c r="R86" s="141">
        <f>20743*1203.5</f>
        <v>24964200.5</v>
      </c>
      <c r="S86" s="141">
        <f>7443*1203.5</f>
        <v>8957650.5</v>
      </c>
      <c r="T86" s="141">
        <f>687*1203.5</f>
        <v>826804.5</v>
      </c>
      <c r="U86" s="188"/>
      <c r="V86" s="188"/>
      <c r="W86" s="188"/>
      <c r="X86" s="188"/>
      <c r="Y86" s="188"/>
      <c r="AA86" s="139"/>
      <c r="AB86" s="139"/>
      <c r="AC86" s="139"/>
      <c r="AD86" s="139"/>
      <c r="AE86" s="42">
        <f t="shared" si="3"/>
        <v>408632779.5</v>
      </c>
    </row>
    <row r="87" spans="2:31" s="138" customFormat="1">
      <c r="B87" s="363"/>
      <c r="C87" s="354"/>
      <c r="D87" s="140"/>
      <c r="E87" s="141" t="s">
        <v>271</v>
      </c>
      <c r="F87" s="185"/>
      <c r="G87" s="185"/>
      <c r="H87" s="185"/>
      <c r="I87" s="185"/>
      <c r="J87" s="230">
        <f>-40854*1203.5</f>
        <v>-49167789</v>
      </c>
      <c r="K87" s="185"/>
      <c r="L87" s="185"/>
      <c r="M87" s="185"/>
      <c r="N87" s="187"/>
      <c r="O87" s="188"/>
      <c r="P87" s="187"/>
      <c r="Q87" s="188"/>
      <c r="R87" s="188"/>
      <c r="S87" s="188"/>
      <c r="T87" s="188"/>
      <c r="U87" s="188"/>
      <c r="V87" s="188"/>
      <c r="W87" s="188"/>
      <c r="X87" s="188"/>
      <c r="Y87" s="188"/>
      <c r="AA87" s="139"/>
      <c r="AB87" s="139"/>
      <c r="AC87" s="139"/>
      <c r="AD87" s="139"/>
      <c r="AE87" s="42">
        <f t="shared" si="3"/>
        <v>-49167789</v>
      </c>
    </row>
    <row r="88" spans="2:31" s="138" customFormat="1">
      <c r="B88" s="311" t="s">
        <v>276</v>
      </c>
      <c r="C88" s="343">
        <v>43739</v>
      </c>
      <c r="D88" s="10">
        <v>1184</v>
      </c>
      <c r="E88" s="5" t="s">
        <v>277</v>
      </c>
      <c r="F88" s="185"/>
      <c r="G88" s="185"/>
      <c r="H88" s="185"/>
      <c r="I88" s="185"/>
      <c r="J88" s="189"/>
      <c r="K88" s="185"/>
      <c r="L88" s="185"/>
      <c r="M88" s="185"/>
      <c r="N88" s="187"/>
      <c r="O88" s="188"/>
      <c r="P88" s="187"/>
      <c r="Q88" s="188"/>
      <c r="R88" s="188"/>
      <c r="S88" s="141">
        <v>1850000000</v>
      </c>
      <c r="T88" s="141"/>
      <c r="U88" s="141">
        <v>48600000000</v>
      </c>
      <c r="V88" s="141"/>
      <c r="W88" s="141"/>
      <c r="X88" s="141"/>
      <c r="Y88" s="188"/>
      <c r="AA88" s="139"/>
      <c r="AB88" s="139"/>
      <c r="AC88" s="139"/>
      <c r="AD88" s="139"/>
      <c r="AE88" s="42">
        <f t="shared" si="3"/>
        <v>50450000000</v>
      </c>
    </row>
    <row r="89" spans="2:31" s="138" customFormat="1">
      <c r="B89" s="312"/>
      <c r="C89" s="344"/>
      <c r="D89" s="10">
        <v>1184</v>
      </c>
      <c r="E89" s="5" t="s">
        <v>278</v>
      </c>
      <c r="F89" s="185"/>
      <c r="G89" s="185"/>
      <c r="H89" s="185"/>
      <c r="I89" s="185"/>
      <c r="J89" s="189"/>
      <c r="K89" s="185"/>
      <c r="L89" s="185"/>
      <c r="M89" s="185"/>
      <c r="N89" s="187"/>
      <c r="O89" s="188"/>
      <c r="P89" s="187"/>
      <c r="Q89" s="188"/>
      <c r="R89" s="188"/>
      <c r="S89" s="188"/>
      <c r="T89" s="141">
        <v>230000000</v>
      </c>
      <c r="U89" s="141">
        <v>230000000</v>
      </c>
      <c r="V89" s="141"/>
      <c r="W89" s="141"/>
      <c r="X89" s="141"/>
      <c r="Y89" s="188"/>
      <c r="AA89" s="139"/>
      <c r="AB89" s="139"/>
      <c r="AC89" s="139"/>
      <c r="AD89" s="139"/>
      <c r="AE89" s="42">
        <f t="shared" si="3"/>
        <v>460000000</v>
      </c>
    </row>
    <row r="90" spans="2:31" s="138" customFormat="1">
      <c r="B90" s="313"/>
      <c r="C90" s="345"/>
      <c r="D90" s="10">
        <v>1184</v>
      </c>
      <c r="E90" s="5" t="s">
        <v>279</v>
      </c>
      <c r="F90" s="185"/>
      <c r="G90" s="185"/>
      <c r="H90" s="185"/>
      <c r="I90" s="185"/>
      <c r="J90" s="189"/>
      <c r="K90" s="185"/>
      <c r="L90" s="185"/>
      <c r="M90" s="185"/>
      <c r="N90" s="187"/>
      <c r="O90" s="188"/>
      <c r="P90" s="187"/>
      <c r="Q90" s="188"/>
      <c r="R90" s="188"/>
      <c r="S90" s="188"/>
      <c r="T90" s="188"/>
      <c r="U90" s="188"/>
      <c r="V90" s="188"/>
      <c r="W90" s="188"/>
      <c r="X90" s="188"/>
      <c r="Y90" s="188">
        <v>300000000</v>
      </c>
      <c r="AA90" s="139"/>
      <c r="AB90" s="139"/>
      <c r="AC90" s="139"/>
      <c r="AD90" s="139"/>
      <c r="AE90" s="42">
        <f t="shared" si="3"/>
        <v>300000000</v>
      </c>
    </row>
    <row r="91" spans="2:31">
      <c r="B91" s="337" t="s">
        <v>284</v>
      </c>
      <c r="C91" s="334">
        <v>43770</v>
      </c>
      <c r="D91" s="340">
        <v>1169.5</v>
      </c>
      <c r="E91" s="145" t="s">
        <v>285</v>
      </c>
      <c r="F91" s="177"/>
      <c r="G91" s="177"/>
      <c r="H91" s="177"/>
      <c r="I91" s="177"/>
      <c r="J91" s="177">
        <v>2000000000</v>
      </c>
      <c r="K91" s="177"/>
      <c r="L91" s="177"/>
      <c r="M91" s="177"/>
      <c r="N91" s="180"/>
      <c r="O91" s="180"/>
      <c r="P91" s="180"/>
      <c r="Q91" s="180">
        <v>13000000000</v>
      </c>
      <c r="R91" s="180"/>
      <c r="S91" s="180">
        <f>2138187712-S92</f>
        <v>1011421241</v>
      </c>
      <c r="T91" s="180">
        <f>2991286728-T92</f>
        <v>1991546669</v>
      </c>
      <c r="U91" s="180">
        <v>7000000000</v>
      </c>
      <c r="V91" s="180"/>
      <c r="W91" s="180"/>
      <c r="X91" s="180"/>
      <c r="Y91" s="145"/>
      <c r="AA91" s="104"/>
      <c r="AB91" s="104"/>
      <c r="AC91" s="104"/>
      <c r="AD91" s="104"/>
      <c r="AE91" s="42">
        <f t="shared" si="3"/>
        <v>25002967910</v>
      </c>
    </row>
    <row r="92" spans="2:31">
      <c r="B92" s="339"/>
      <c r="C92" s="336"/>
      <c r="D92" s="342"/>
      <c r="E92" s="145" t="s">
        <v>286</v>
      </c>
      <c r="F92" s="177">
        <f>280365*$D$91</f>
        <v>327886867.5</v>
      </c>
      <c r="G92" s="177">
        <f>48663*D91</f>
        <v>56911378.5</v>
      </c>
      <c r="H92" s="177">
        <f>187221*D91</f>
        <v>218954959.5</v>
      </c>
      <c r="I92" s="177">
        <f>174250*D91</f>
        <v>203785375</v>
      </c>
      <c r="J92" s="177">
        <f>24861*D91</f>
        <v>29074939.5</v>
      </c>
      <c r="K92" s="177">
        <f>77301*D91</f>
        <v>90403519.5</v>
      </c>
      <c r="L92" s="177">
        <f>248608*D91</f>
        <v>290747056</v>
      </c>
      <c r="M92" s="177">
        <f>140152*D91</f>
        <v>163907764</v>
      </c>
      <c r="N92" s="180">
        <f>245510*D91</f>
        <v>287123945</v>
      </c>
      <c r="O92" s="180">
        <f>386622*D91</f>
        <v>452154429</v>
      </c>
      <c r="P92" s="180"/>
      <c r="Q92" s="180">
        <f>442358698</f>
        <v>442358698</v>
      </c>
      <c r="R92" s="180">
        <f>312841*D91</f>
        <v>365867549.5</v>
      </c>
      <c r="S92" s="180">
        <v>1126766471</v>
      </c>
      <c r="T92" s="180">
        <f>(999740059)</f>
        <v>999740059</v>
      </c>
      <c r="U92" s="180"/>
      <c r="V92" s="180"/>
      <c r="W92" s="180"/>
      <c r="X92" s="180"/>
      <c r="Y92" s="145"/>
      <c r="AA92" s="104"/>
      <c r="AB92" s="104"/>
      <c r="AC92" s="104"/>
      <c r="AD92" s="104"/>
      <c r="AE92" s="42">
        <f t="shared" si="3"/>
        <v>5055683011</v>
      </c>
    </row>
    <row r="93" spans="2:31" s="138" customFormat="1">
      <c r="B93" s="143" t="s">
        <v>287</v>
      </c>
      <c r="C93" s="144">
        <v>43804</v>
      </c>
      <c r="D93" s="152">
        <v>1152.0999999999999</v>
      </c>
      <c r="E93" s="141" t="s">
        <v>288</v>
      </c>
      <c r="F93" s="185"/>
      <c r="G93" s="185"/>
      <c r="H93" s="185"/>
      <c r="I93" s="185"/>
      <c r="J93" s="192"/>
      <c r="K93" s="185"/>
      <c r="L93" s="185"/>
      <c r="M93" s="185"/>
      <c r="N93" s="187"/>
      <c r="O93" s="188"/>
      <c r="P93" s="187"/>
      <c r="Q93" s="188"/>
      <c r="R93" s="188"/>
      <c r="S93" s="188"/>
      <c r="T93" s="141">
        <v>4500000000</v>
      </c>
      <c r="U93" s="188"/>
      <c r="V93" s="188"/>
      <c r="W93" s="188"/>
      <c r="X93" s="188"/>
      <c r="Y93" s="188"/>
      <c r="AA93" s="139"/>
      <c r="AB93" s="139"/>
      <c r="AC93" s="139"/>
      <c r="AD93" s="139"/>
      <c r="AE93" s="42">
        <f t="shared" si="3"/>
        <v>4500000000</v>
      </c>
    </row>
    <row r="94" spans="2:31">
      <c r="B94" s="361" t="s">
        <v>291</v>
      </c>
      <c r="C94" s="352">
        <v>43819</v>
      </c>
      <c r="D94" s="359">
        <v>1167.8</v>
      </c>
      <c r="E94" s="145" t="s">
        <v>292</v>
      </c>
      <c r="F94" s="5">
        <f t="shared" ref="F94:U94" si="4">F278*$D$94</f>
        <v>326311347.19999999</v>
      </c>
      <c r="G94" s="5">
        <f t="shared" si="4"/>
        <v>44969642.399999999</v>
      </c>
      <c r="H94" s="5">
        <f t="shared" si="4"/>
        <v>0</v>
      </c>
      <c r="I94" s="5">
        <f t="shared" si="4"/>
        <v>108935887.39999999</v>
      </c>
      <c r="J94" s="5">
        <f t="shared" si="4"/>
        <v>384579896</v>
      </c>
      <c r="K94" s="5">
        <f t="shared" si="4"/>
        <v>10660846.199999999</v>
      </c>
      <c r="L94" s="5">
        <f t="shared" si="4"/>
        <v>165636080.79999998</v>
      </c>
      <c r="M94" s="5">
        <f t="shared" si="4"/>
        <v>161841898.59999999</v>
      </c>
      <c r="N94" s="5">
        <f t="shared" si="4"/>
        <v>109538472.2</v>
      </c>
      <c r="O94" s="5">
        <f t="shared" si="4"/>
        <v>381138389.39999998</v>
      </c>
      <c r="P94" s="5">
        <f t="shared" si="4"/>
        <v>0</v>
      </c>
      <c r="Q94" s="5">
        <f t="shared" si="4"/>
        <v>465347279.59999996</v>
      </c>
      <c r="R94" s="5">
        <f t="shared" si="4"/>
        <v>189522262</v>
      </c>
      <c r="S94" s="5">
        <f t="shared" si="4"/>
        <v>617177628.79999995</v>
      </c>
      <c r="T94" s="5">
        <f t="shared" si="4"/>
        <v>564074259.39999998</v>
      </c>
      <c r="U94" s="5">
        <f t="shared" si="4"/>
        <v>1437901629.8</v>
      </c>
      <c r="V94" s="5"/>
      <c r="W94" s="5"/>
      <c r="X94" s="5"/>
      <c r="Y94" s="5"/>
      <c r="Z94" s="7"/>
      <c r="AA94" s="12"/>
      <c r="AB94" s="12"/>
      <c r="AC94" s="12"/>
      <c r="AD94" s="12"/>
      <c r="AE94" s="42">
        <f t="shared" si="3"/>
        <v>4967635519.7999992</v>
      </c>
    </row>
    <row r="95" spans="2:31">
      <c r="B95" s="363"/>
      <c r="C95" s="354"/>
      <c r="D95" s="360"/>
      <c r="E95" s="141" t="s">
        <v>293</v>
      </c>
      <c r="F95" s="5"/>
      <c r="G95" s="5"/>
      <c r="H95" s="5"/>
      <c r="I95" s="181"/>
      <c r="J95" s="5"/>
      <c r="K95" s="5"/>
      <c r="L95" s="5">
        <f>L279*$D$94</f>
        <v>64000111.199999996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7"/>
      <c r="AA95" s="12"/>
      <c r="AB95" s="12"/>
      <c r="AC95" s="12"/>
      <c r="AD95" s="12"/>
      <c r="AE95" s="42">
        <f t="shared" si="3"/>
        <v>64000111.199999996</v>
      </c>
    </row>
    <row r="96" spans="2:31">
      <c r="B96" s="143" t="s">
        <v>296</v>
      </c>
      <c r="C96" s="144">
        <v>43839</v>
      </c>
      <c r="D96" s="159">
        <v>1151.3</v>
      </c>
      <c r="E96" s="145" t="s">
        <v>54</v>
      </c>
      <c r="F96" s="177"/>
      <c r="G96" s="177"/>
      <c r="H96" s="177"/>
      <c r="I96" s="177"/>
      <c r="J96" s="177"/>
      <c r="K96" s="179"/>
      <c r="L96" s="179"/>
      <c r="M96" s="179"/>
      <c r="N96" s="180"/>
      <c r="O96" s="176">
        <v>7000000000</v>
      </c>
      <c r="P96" s="180"/>
      <c r="Q96" s="176"/>
      <c r="R96" s="176"/>
      <c r="S96" s="176"/>
      <c r="T96" s="176"/>
      <c r="U96" s="176"/>
      <c r="V96" s="176"/>
      <c r="W96" s="176"/>
      <c r="X96" s="176"/>
      <c r="Y96" s="5"/>
      <c r="AA96" s="12"/>
      <c r="AB96" s="12"/>
      <c r="AC96" s="12"/>
      <c r="AD96" s="12"/>
      <c r="AE96" s="42">
        <f t="shared" si="3"/>
        <v>7000000000</v>
      </c>
    </row>
    <row r="97" spans="2:31">
      <c r="B97" s="143" t="s">
        <v>297</v>
      </c>
      <c r="C97" s="144">
        <v>43851</v>
      </c>
      <c r="D97" s="159">
        <v>1151.4000000000001</v>
      </c>
      <c r="E97" s="145" t="s">
        <v>298</v>
      </c>
      <c r="F97" s="177"/>
      <c r="G97" s="177"/>
      <c r="H97" s="177"/>
      <c r="I97" s="177"/>
      <c r="J97" s="177"/>
      <c r="K97" s="179"/>
      <c r="L97" s="179"/>
      <c r="M97" s="179"/>
      <c r="N97" s="180"/>
      <c r="O97" s="176"/>
      <c r="P97" s="180"/>
      <c r="Q97" s="176"/>
      <c r="R97" s="176"/>
      <c r="S97" s="176"/>
      <c r="T97" s="176"/>
      <c r="U97" s="176"/>
      <c r="V97" s="176">
        <v>9123154780</v>
      </c>
      <c r="W97" s="176"/>
      <c r="X97" s="176"/>
      <c r="Y97" s="5">
        <v>600000000</v>
      </c>
      <c r="AA97" s="12"/>
      <c r="AB97" s="12"/>
      <c r="AC97" s="12"/>
      <c r="AD97" s="12"/>
      <c r="AE97" s="42">
        <f t="shared" si="3"/>
        <v>9723154780</v>
      </c>
    </row>
    <row r="98" spans="2:31">
      <c r="B98" s="143" t="s">
        <v>301</v>
      </c>
      <c r="C98" s="160">
        <v>43800</v>
      </c>
      <c r="D98" s="159">
        <v>1167.8</v>
      </c>
      <c r="E98" s="145" t="s">
        <v>300</v>
      </c>
      <c r="F98" s="177"/>
      <c r="G98" s="177"/>
      <c r="H98" s="177"/>
      <c r="I98" s="177"/>
      <c r="J98" s="177"/>
      <c r="K98" s="179"/>
      <c r="L98" s="179"/>
      <c r="M98" s="179"/>
      <c r="N98" s="180"/>
      <c r="O98" s="176"/>
      <c r="P98" s="180"/>
      <c r="Q98" s="176"/>
      <c r="R98" s="176"/>
      <c r="S98" s="176"/>
      <c r="T98" s="176"/>
      <c r="U98" s="176"/>
      <c r="V98" s="176"/>
      <c r="W98" s="176"/>
      <c r="X98" s="176"/>
      <c r="Y98" s="5"/>
      <c r="AA98" s="12"/>
      <c r="AB98" s="12"/>
      <c r="AC98" s="12"/>
      <c r="AD98" s="12"/>
      <c r="AE98" s="42">
        <f t="shared" si="3"/>
        <v>0</v>
      </c>
    </row>
    <row r="99" spans="2:31">
      <c r="B99" s="143" t="s">
        <v>301</v>
      </c>
      <c r="C99" s="160">
        <v>43880</v>
      </c>
      <c r="D99" s="159">
        <v>1218.8</v>
      </c>
      <c r="E99" s="145" t="s">
        <v>300</v>
      </c>
      <c r="F99" s="177"/>
      <c r="G99" s="177"/>
      <c r="H99" s="177"/>
      <c r="I99" s="177"/>
      <c r="J99" s="177"/>
      <c r="K99" s="179"/>
      <c r="L99" s="179"/>
      <c r="M99" s="179"/>
      <c r="N99" s="180"/>
      <c r="O99" s="176"/>
      <c r="P99" s="180"/>
      <c r="Q99" s="176"/>
      <c r="R99" s="176"/>
      <c r="S99" s="176"/>
      <c r="T99" s="176"/>
      <c r="U99" s="176"/>
      <c r="V99" s="176"/>
      <c r="W99" s="176"/>
      <c r="X99" s="176"/>
      <c r="Y99" s="5"/>
      <c r="AA99" s="12"/>
      <c r="AB99" s="12"/>
      <c r="AC99" s="12"/>
      <c r="AD99" s="12"/>
      <c r="AE99" s="42">
        <f t="shared" si="3"/>
        <v>0</v>
      </c>
    </row>
    <row r="100" spans="2:31">
      <c r="B100" s="143" t="s">
        <v>302</v>
      </c>
      <c r="C100" s="144">
        <v>43915</v>
      </c>
      <c r="D100" s="159">
        <v>1181.2</v>
      </c>
      <c r="E100" s="145" t="s">
        <v>303</v>
      </c>
      <c r="F100" s="177"/>
      <c r="G100" s="177"/>
      <c r="H100" s="177"/>
      <c r="I100" s="177"/>
      <c r="J100" s="177"/>
      <c r="K100" s="179"/>
      <c r="L100" s="179"/>
      <c r="M100" s="179"/>
      <c r="N100" s="180"/>
      <c r="O100" s="176">
        <f>ROUNDDOWN(O284*D100,-3)</f>
        <v>11300000000</v>
      </c>
      <c r="P100" s="180"/>
      <c r="Q100" s="176"/>
      <c r="R100" s="176"/>
      <c r="S100" s="176"/>
      <c r="T100" s="176"/>
      <c r="U100" s="176"/>
      <c r="V100" s="177">
        <f>ROUND(V284*$D$100,-3)</f>
        <v>2532500000</v>
      </c>
      <c r="W100" s="177"/>
      <c r="X100" s="177"/>
      <c r="Y100" s="5"/>
      <c r="AA100" s="12"/>
      <c r="AB100" s="12"/>
      <c r="AC100" s="12"/>
      <c r="AD100" s="12"/>
      <c r="AE100" s="42">
        <f t="shared" si="3"/>
        <v>13832500000</v>
      </c>
    </row>
    <row r="101" spans="2:31" ht="20.25" customHeight="1">
      <c r="B101" s="373" t="s">
        <v>313</v>
      </c>
      <c r="C101" s="352">
        <v>43999</v>
      </c>
      <c r="D101" s="159">
        <v>1216.9000000000001</v>
      </c>
      <c r="E101" s="145" t="s">
        <v>310</v>
      </c>
      <c r="F101" s="177"/>
      <c r="G101" s="177"/>
      <c r="H101" s="177"/>
      <c r="I101" s="177"/>
      <c r="J101" s="177"/>
      <c r="K101" s="179"/>
      <c r="L101" s="179"/>
      <c r="M101" s="179"/>
      <c r="N101" s="180"/>
      <c r="O101" s="176"/>
      <c r="P101" s="180"/>
      <c r="Q101" s="176"/>
      <c r="R101" s="176"/>
      <c r="S101" s="176"/>
      <c r="T101" s="176"/>
      <c r="U101" s="176">
        <f>3963828219.3-U102</f>
        <v>3024020000</v>
      </c>
      <c r="V101" s="176">
        <v>1080000000</v>
      </c>
      <c r="W101" s="176"/>
      <c r="X101" s="176"/>
      <c r="Y101" s="5"/>
      <c r="AA101" s="12"/>
      <c r="AB101" s="12"/>
      <c r="AC101" s="12"/>
      <c r="AD101" s="12"/>
      <c r="AE101" s="42">
        <f t="shared" si="3"/>
        <v>4104020000</v>
      </c>
    </row>
    <row r="102" spans="2:31" ht="20.25" customHeight="1">
      <c r="B102" s="374"/>
      <c r="C102" s="353"/>
      <c r="D102" s="159">
        <v>1216.9000000000001</v>
      </c>
      <c r="E102" s="145" t="s">
        <v>311</v>
      </c>
      <c r="F102" s="177">
        <f t="shared" ref="F102:L102" si="5">F286*$D$102</f>
        <v>345049561.20000005</v>
      </c>
      <c r="G102" s="177">
        <f t="shared" si="5"/>
        <v>48348653.900000006</v>
      </c>
      <c r="H102" s="177">
        <f t="shared" si="5"/>
        <v>212249264.20000002</v>
      </c>
      <c r="I102" s="177">
        <f t="shared" si="5"/>
        <v>189150068.40000001</v>
      </c>
      <c r="J102" s="177">
        <f t="shared" si="5"/>
        <v>35756172.700000003</v>
      </c>
      <c r="K102" s="177">
        <f t="shared" si="5"/>
        <v>75047439.900000006</v>
      </c>
      <c r="L102" s="177">
        <f t="shared" si="5"/>
        <v>323282870.90000004</v>
      </c>
      <c r="M102" s="177"/>
      <c r="N102" s="177">
        <f>N286*$D$102</f>
        <v>304035163.60000002</v>
      </c>
      <c r="O102" s="177">
        <f>O286*$D$102</f>
        <v>488697304.80000001</v>
      </c>
      <c r="P102" s="193">
        <v>1383615.3</v>
      </c>
      <c r="Q102" s="177">
        <f>Q286*$D$102</f>
        <v>325405144.5</v>
      </c>
      <c r="R102" s="177">
        <f>R286*$D$102</f>
        <v>171018258.40000001</v>
      </c>
      <c r="S102" s="177">
        <f>S286*$D$102</f>
        <v>535266850.90000004</v>
      </c>
      <c r="T102" s="177">
        <f>T286*$D$102</f>
        <v>595311130.70000005</v>
      </c>
      <c r="U102" s="177">
        <f>U286*$D$102</f>
        <v>939808219.30000007</v>
      </c>
      <c r="V102" s="177">
        <v>128188959.5</v>
      </c>
      <c r="W102" s="177"/>
      <c r="X102" s="177"/>
      <c r="Y102" s="177"/>
      <c r="AA102" s="12"/>
      <c r="AB102" s="12"/>
      <c r="AC102" s="12"/>
      <c r="AD102" s="12"/>
      <c r="AE102" s="42">
        <f t="shared" si="3"/>
        <v>4717998678.2000008</v>
      </c>
    </row>
    <row r="103" spans="2:31">
      <c r="B103" s="375"/>
      <c r="C103" s="354"/>
      <c r="D103" s="159">
        <v>1216.9000000000001</v>
      </c>
      <c r="E103" s="142" t="s">
        <v>270</v>
      </c>
      <c r="F103" s="177"/>
      <c r="G103" s="177"/>
      <c r="H103" s="177"/>
      <c r="I103" s="177"/>
      <c r="J103" s="230">
        <f>J287*D102</f>
        <v>-1383615.3</v>
      </c>
      <c r="K103" s="179"/>
      <c r="L103" s="179"/>
      <c r="M103" s="179"/>
      <c r="N103" s="180"/>
      <c r="O103" s="176"/>
      <c r="P103" s="180"/>
      <c r="Q103" s="176"/>
      <c r="R103" s="176"/>
      <c r="S103" s="176"/>
      <c r="T103" s="176"/>
      <c r="U103" s="176"/>
      <c r="V103" s="176"/>
      <c r="W103" s="176"/>
      <c r="X103" s="176"/>
      <c r="Y103" s="5"/>
      <c r="AA103" s="12"/>
      <c r="AB103" s="12"/>
      <c r="AC103" s="12"/>
      <c r="AD103" s="12"/>
      <c r="AE103" s="42">
        <f t="shared" si="3"/>
        <v>-1383615.3</v>
      </c>
    </row>
    <row r="104" spans="2:31">
      <c r="B104" s="34" t="s">
        <v>314</v>
      </c>
      <c r="C104" s="32">
        <v>44041</v>
      </c>
      <c r="D104" s="159">
        <v>1192.3</v>
      </c>
      <c r="E104" s="5" t="s">
        <v>315</v>
      </c>
      <c r="F104" s="5"/>
      <c r="G104" s="5"/>
      <c r="H104" s="5"/>
      <c r="I104" s="181"/>
      <c r="J104" s="5"/>
      <c r="K104" s="5"/>
      <c r="L104" s="5"/>
      <c r="M104" s="5"/>
      <c r="N104" s="5"/>
      <c r="O104" s="5"/>
      <c r="P104" s="5"/>
      <c r="Q104" s="5"/>
      <c r="R104" s="5">
        <v>800000000</v>
      </c>
      <c r="S104" s="5">
        <v>4300000000</v>
      </c>
      <c r="T104" s="5"/>
      <c r="U104" s="5"/>
      <c r="V104" s="5">
        <v>21500000000</v>
      </c>
      <c r="W104" s="5"/>
      <c r="X104" s="5"/>
      <c r="Y104" s="5"/>
      <c r="Z104" s="7"/>
      <c r="AA104" s="12"/>
      <c r="AB104" s="12"/>
      <c r="AC104" s="12"/>
      <c r="AD104" s="12"/>
      <c r="AE104" s="42">
        <f t="shared" si="3"/>
        <v>26600000000</v>
      </c>
    </row>
    <row r="105" spans="2:31">
      <c r="B105" s="311" t="s">
        <v>327</v>
      </c>
      <c r="C105" s="343">
        <v>44078</v>
      </c>
      <c r="D105" s="325">
        <v>1174.7</v>
      </c>
      <c r="E105" s="5" t="s">
        <v>323</v>
      </c>
      <c r="F105" s="5"/>
      <c r="G105" s="5"/>
      <c r="H105" s="5"/>
      <c r="I105" s="181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>
        <f>ROUND(W289*$D$105,-3)</f>
        <v>3260000000</v>
      </c>
      <c r="X105" s="5"/>
      <c r="Y105" s="5"/>
      <c r="Z105" s="7"/>
      <c r="AA105" s="12"/>
      <c r="AB105" s="12"/>
      <c r="AC105" s="12"/>
      <c r="AD105" s="12"/>
      <c r="AE105" s="42">
        <f t="shared" si="3"/>
        <v>3260000000</v>
      </c>
    </row>
    <row r="106" spans="2:31">
      <c r="B106" s="312"/>
      <c r="C106" s="344"/>
      <c r="D106" s="326"/>
      <c r="E106" s="5" t="s">
        <v>329</v>
      </c>
      <c r="F106" s="5"/>
      <c r="G106" s="5"/>
      <c r="H106" s="5"/>
      <c r="I106" s="181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>
        <f>ROUND(V290*$D$105,-3)</f>
        <v>230000000</v>
      </c>
      <c r="W106" s="5">
        <f>ROUND(W290*$D$105,-3)</f>
        <v>230000000</v>
      </c>
      <c r="X106" s="5"/>
      <c r="Y106" s="5"/>
      <c r="Z106" s="7"/>
      <c r="AA106" s="12"/>
      <c r="AB106" s="12"/>
      <c r="AC106" s="12"/>
      <c r="AD106" s="12"/>
      <c r="AE106" s="42">
        <f t="shared" si="3"/>
        <v>460000000</v>
      </c>
    </row>
    <row r="107" spans="2:31">
      <c r="B107" s="312"/>
      <c r="C107" s="344"/>
      <c r="D107" s="326"/>
      <c r="E107" s="145" t="s">
        <v>322</v>
      </c>
      <c r="F107" s="5">
        <f t="shared" ref="F107:V107" si="6">F291*$D$105</f>
        <v>325104098.5</v>
      </c>
      <c r="G107" s="5">
        <f t="shared" si="6"/>
        <v>44152274.200000003</v>
      </c>
      <c r="H107" s="5">
        <f t="shared" si="6"/>
        <v>216106034.90000001</v>
      </c>
      <c r="I107" s="5">
        <f t="shared" si="6"/>
        <v>96394707.299999997</v>
      </c>
      <c r="J107" s="5">
        <f t="shared" si="6"/>
        <v>33097172.5</v>
      </c>
      <c r="K107" s="5">
        <f t="shared" si="6"/>
        <v>12927573.5</v>
      </c>
      <c r="L107" s="5">
        <f t="shared" si="6"/>
        <v>17245770.699999999</v>
      </c>
      <c r="M107" s="5">
        <f t="shared" si="6"/>
        <v>0</v>
      </c>
      <c r="N107" s="5">
        <f t="shared" si="6"/>
        <v>890328624</v>
      </c>
      <c r="O107" s="5">
        <f t="shared" si="6"/>
        <v>492517643.70000005</v>
      </c>
      <c r="P107" s="5">
        <f t="shared" si="6"/>
        <v>0</v>
      </c>
      <c r="Q107" s="5">
        <f t="shared" si="6"/>
        <v>339814866.60000002</v>
      </c>
      <c r="R107" s="5">
        <f t="shared" si="6"/>
        <v>186443685.20000002</v>
      </c>
      <c r="S107" s="5">
        <f t="shared" si="6"/>
        <v>568175371.89999998</v>
      </c>
      <c r="T107" s="5">
        <f t="shared" si="6"/>
        <v>572487695.60000002</v>
      </c>
      <c r="U107" s="5">
        <f t="shared" si="6"/>
        <v>925997214.80000007</v>
      </c>
      <c r="V107" s="5">
        <f t="shared" si="6"/>
        <v>792033252.10000002</v>
      </c>
      <c r="W107" s="5"/>
      <c r="X107" s="5"/>
      <c r="Y107" s="5"/>
      <c r="Z107" s="7"/>
      <c r="AA107" s="12"/>
      <c r="AB107" s="12"/>
      <c r="AC107" s="12"/>
      <c r="AD107" s="12"/>
      <c r="AE107" s="42">
        <f t="shared" si="3"/>
        <v>5512825985.5</v>
      </c>
    </row>
    <row r="108" spans="2:31">
      <c r="B108" s="313"/>
      <c r="C108" s="345"/>
      <c r="D108" s="327"/>
      <c r="E108" s="142" t="s">
        <v>270</v>
      </c>
      <c r="F108" s="5"/>
      <c r="G108" s="5"/>
      <c r="H108" s="5"/>
      <c r="I108" s="5"/>
      <c r="J108" s="230">
        <f>J292*$D$105</f>
        <v>-1335633.9000000001</v>
      </c>
      <c r="K108" s="5"/>
      <c r="L108" s="5"/>
      <c r="M108" s="5"/>
      <c r="N108" s="5"/>
      <c r="O108" s="5"/>
      <c r="P108" s="193">
        <f>P292*$D$105</f>
        <v>1335633.9000000001</v>
      </c>
      <c r="Q108" s="5"/>
      <c r="R108" s="5"/>
      <c r="S108" s="5"/>
      <c r="T108" s="5"/>
      <c r="U108" s="5"/>
      <c r="V108" s="5"/>
      <c r="W108" s="5">
        <f>W292*$D$105</f>
        <v>0</v>
      </c>
      <c r="X108" s="5"/>
      <c r="Y108" s="5"/>
      <c r="Z108" s="7"/>
      <c r="AA108" s="12"/>
      <c r="AB108" s="12"/>
      <c r="AC108" s="12"/>
      <c r="AD108" s="12"/>
      <c r="AE108" s="42">
        <f t="shared" si="3"/>
        <v>0</v>
      </c>
    </row>
    <row r="109" spans="2:31">
      <c r="B109" s="34" t="s">
        <v>335</v>
      </c>
      <c r="C109" s="32">
        <v>44097</v>
      </c>
      <c r="D109" s="173">
        <v>1172.5999999999999</v>
      </c>
      <c r="E109" s="142" t="s">
        <v>336</v>
      </c>
      <c r="F109" s="5"/>
      <c r="G109" s="5"/>
      <c r="H109" s="5"/>
      <c r="I109" s="5"/>
      <c r="J109" s="230"/>
      <c r="K109" s="5"/>
      <c r="L109" s="5"/>
      <c r="M109" s="5"/>
      <c r="N109" s="5"/>
      <c r="O109" s="5"/>
      <c r="P109" s="193"/>
      <c r="Q109" s="5"/>
      <c r="R109" s="5">
        <f>ROUND(R293*$D$109,-3)</f>
        <v>400000000</v>
      </c>
      <c r="S109" s="5">
        <f>ROUND(S293*$D$109,-3)</f>
        <v>9700000000</v>
      </c>
      <c r="T109" s="5"/>
      <c r="U109" s="5"/>
      <c r="V109" s="5"/>
      <c r="W109" s="5"/>
      <c r="X109" s="5"/>
      <c r="Y109" s="5"/>
      <c r="Z109" s="7"/>
      <c r="AA109" s="12"/>
      <c r="AB109" s="12"/>
      <c r="AC109" s="12"/>
      <c r="AD109" s="12"/>
      <c r="AE109" s="42">
        <f t="shared" si="3"/>
        <v>10100000000</v>
      </c>
    </row>
    <row r="110" spans="2:31">
      <c r="B110" s="311" t="s">
        <v>338</v>
      </c>
      <c r="C110" s="343">
        <v>44131</v>
      </c>
      <c r="D110" s="325">
        <v>1134.5</v>
      </c>
      <c r="E110" s="142" t="s">
        <v>340</v>
      </c>
      <c r="F110" s="5"/>
      <c r="G110" s="5"/>
      <c r="H110" s="5"/>
      <c r="I110" s="5"/>
      <c r="J110" s="237"/>
      <c r="K110" s="145"/>
      <c r="L110" s="145"/>
      <c r="M110" s="145"/>
      <c r="N110" s="145"/>
      <c r="O110" s="145"/>
      <c r="P110" s="177"/>
      <c r="Q110" s="145"/>
      <c r="R110" s="5">
        <v>4067583410.0000005</v>
      </c>
      <c r="S110" s="5"/>
      <c r="T110" s="5"/>
      <c r="U110" s="5"/>
      <c r="V110" s="5"/>
      <c r="W110" s="5"/>
      <c r="X110" s="5"/>
      <c r="Y110" s="5"/>
      <c r="Z110" s="7"/>
      <c r="AA110" s="12"/>
      <c r="AB110" s="12"/>
      <c r="AC110" s="12"/>
      <c r="AD110" s="12"/>
      <c r="AE110" s="42">
        <f t="shared" si="3"/>
        <v>4067583410.0000005</v>
      </c>
    </row>
    <row r="111" spans="2:31">
      <c r="B111" s="312"/>
      <c r="C111" s="344"/>
      <c r="D111" s="326"/>
      <c r="E111" s="142" t="s">
        <v>339</v>
      </c>
      <c r="F111" s="5">
        <f t="shared" ref="F111:W111" si="7">F295*$D$110</f>
        <v>309724172.5</v>
      </c>
      <c r="G111" s="5">
        <f t="shared" si="7"/>
        <v>37660862</v>
      </c>
      <c r="H111" s="5">
        <f t="shared" si="7"/>
        <v>204719390.5</v>
      </c>
      <c r="I111" s="5">
        <f t="shared" si="7"/>
        <v>93179888.5</v>
      </c>
      <c r="J111" s="5">
        <f t="shared" si="7"/>
        <v>30396658.5</v>
      </c>
      <c r="K111" s="5">
        <f t="shared" si="7"/>
        <v>11149866</v>
      </c>
      <c r="L111" s="5">
        <f t="shared" si="7"/>
        <v>15605047.5</v>
      </c>
      <c r="M111" s="5">
        <f t="shared" si="7"/>
        <v>0</v>
      </c>
      <c r="N111" s="5">
        <f t="shared" si="7"/>
        <v>66306987</v>
      </c>
      <c r="O111" s="5">
        <f t="shared" si="7"/>
        <v>309211378.5</v>
      </c>
      <c r="P111" s="5">
        <f t="shared" si="7"/>
        <v>1309213</v>
      </c>
      <c r="Q111" s="5">
        <f t="shared" si="7"/>
        <v>136358958.5</v>
      </c>
      <c r="R111" s="5">
        <f t="shared" si="7"/>
        <v>199901169</v>
      </c>
      <c r="S111" s="5">
        <f t="shared" si="7"/>
        <v>652322751.5</v>
      </c>
      <c r="T111" s="5">
        <f t="shared" si="7"/>
        <v>565325888</v>
      </c>
      <c r="U111" s="5">
        <f t="shared" si="7"/>
        <v>843516633</v>
      </c>
      <c r="V111" s="5">
        <f t="shared" si="7"/>
        <v>666409838</v>
      </c>
      <c r="W111" s="5">
        <f t="shared" si="7"/>
        <v>130133957</v>
      </c>
      <c r="X111" s="5"/>
      <c r="Y111" s="5">
        <f>Y295*$D$110</f>
        <v>0</v>
      </c>
      <c r="Z111" s="7"/>
      <c r="AA111" s="12"/>
      <c r="AB111" s="12"/>
      <c r="AC111" s="12"/>
      <c r="AD111" s="12"/>
      <c r="AE111" s="42">
        <f t="shared" si="3"/>
        <v>4273232659</v>
      </c>
    </row>
    <row r="112" spans="2:31">
      <c r="B112" s="313"/>
      <c r="C112" s="345"/>
      <c r="D112" s="327"/>
      <c r="E112" s="142" t="s">
        <v>342</v>
      </c>
      <c r="F112" s="5"/>
      <c r="G112" s="5"/>
      <c r="H112" s="5"/>
      <c r="I112" s="5"/>
      <c r="J112" s="230">
        <f>J296*$D$110</f>
        <v>-1309213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7"/>
      <c r="AA112" s="12"/>
      <c r="AB112" s="12"/>
      <c r="AC112" s="12"/>
      <c r="AD112" s="12"/>
      <c r="AE112" s="42">
        <f t="shared" si="3"/>
        <v>-1309213</v>
      </c>
    </row>
    <row r="113" spans="2:31">
      <c r="B113" s="311" t="s">
        <v>355</v>
      </c>
      <c r="C113" s="343">
        <v>44183</v>
      </c>
      <c r="D113" s="325">
        <v>1082.7</v>
      </c>
      <c r="E113" s="102" t="s">
        <v>356</v>
      </c>
      <c r="F113" s="5"/>
      <c r="G113" s="5"/>
      <c r="H113" s="5"/>
      <c r="I113" s="5"/>
      <c r="J113" s="237"/>
      <c r="K113" s="5"/>
      <c r="L113" s="5"/>
      <c r="M113" s="5"/>
      <c r="N113" s="5"/>
      <c r="O113" s="5"/>
      <c r="P113" s="5"/>
      <c r="Q113" s="5"/>
      <c r="R113" s="5"/>
      <c r="S113" s="5">
        <f>ROUND(S297*D113,-4)</f>
        <v>2200000000</v>
      </c>
      <c r="T113" s="5"/>
      <c r="U113" s="5"/>
      <c r="V113" s="5"/>
      <c r="W113" s="5"/>
      <c r="X113" s="5">
        <f>ROUND(D113*X297,-4)</f>
        <v>3500000000</v>
      </c>
      <c r="Y113" s="5"/>
      <c r="Z113" s="7"/>
      <c r="AA113" s="12"/>
      <c r="AB113" s="12"/>
      <c r="AC113" s="12"/>
      <c r="AD113" s="12"/>
      <c r="AE113" s="42">
        <f t="shared" si="3"/>
        <v>5700000000</v>
      </c>
    </row>
    <row r="114" spans="2:31">
      <c r="B114" s="313"/>
      <c r="C114" s="345"/>
      <c r="D114" s="327"/>
      <c r="E114" s="102" t="s">
        <v>358</v>
      </c>
      <c r="F114" s="5"/>
      <c r="G114" s="5"/>
      <c r="H114" s="5"/>
      <c r="I114" s="5"/>
      <c r="J114" s="237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>
        <f>ROUND(X298*D113,-3)</f>
        <v>230000000</v>
      </c>
      <c r="Y114" s="5">
        <v>300000000</v>
      </c>
      <c r="Z114" s="7"/>
      <c r="AA114" s="12"/>
      <c r="AB114" s="12"/>
      <c r="AC114" s="12"/>
      <c r="AD114" s="12"/>
      <c r="AE114" s="42">
        <f t="shared" si="3"/>
        <v>530000000</v>
      </c>
    </row>
    <row r="115" spans="2:31">
      <c r="B115" s="311" t="s">
        <v>363</v>
      </c>
      <c r="C115" s="334">
        <v>44230</v>
      </c>
      <c r="D115" s="325">
        <v>1085.08</v>
      </c>
      <c r="E115" s="102" t="s">
        <v>364</v>
      </c>
      <c r="F115" s="177"/>
      <c r="G115" s="177"/>
      <c r="H115" s="177"/>
      <c r="I115" s="177"/>
      <c r="J115" s="237"/>
      <c r="K115" s="179"/>
      <c r="L115" s="179"/>
      <c r="M115" s="179"/>
      <c r="N115" s="180"/>
      <c r="O115" s="176"/>
      <c r="P115" s="177"/>
      <c r="Q115" s="176"/>
      <c r="R115" s="176">
        <f>ROUND($D$115*R299,-3)</f>
        <v>2500000000</v>
      </c>
      <c r="S115" s="176">
        <f>ROUND($D$115*S299,-3)</f>
        <v>11000000000</v>
      </c>
      <c r="T115" s="176"/>
      <c r="U115" s="176">
        <f>ROUNDUP($D$115*U299,-3)</f>
        <v>500000000</v>
      </c>
      <c r="V115" s="176"/>
      <c r="W115" s="176"/>
      <c r="X115" s="176"/>
      <c r="Y115" s="5"/>
      <c r="AA115" s="12"/>
      <c r="AB115" s="12"/>
      <c r="AC115" s="12"/>
      <c r="AD115" s="12"/>
      <c r="AE115" s="42">
        <f t="shared" si="3"/>
        <v>14000000000</v>
      </c>
    </row>
    <row r="116" spans="2:31">
      <c r="B116" s="312"/>
      <c r="C116" s="335"/>
      <c r="D116" s="326"/>
      <c r="E116" s="102" t="s">
        <v>365</v>
      </c>
      <c r="F116" s="177">
        <f t="shared" ref="F116:Y116" si="8">$D$115*F300</f>
        <v>290212241.56</v>
      </c>
      <c r="G116" s="177">
        <f t="shared" si="8"/>
        <v>26186235.639999997</v>
      </c>
      <c r="H116" s="177">
        <f t="shared" si="8"/>
        <v>145816305.63999999</v>
      </c>
      <c r="I116" s="177">
        <f t="shared" si="8"/>
        <v>93358113.039999992</v>
      </c>
      <c r="J116" s="177">
        <f t="shared" si="8"/>
        <v>24453362.879999999</v>
      </c>
      <c r="K116" s="177">
        <f t="shared" si="8"/>
        <v>6693858.5199999996</v>
      </c>
      <c r="L116" s="177">
        <f t="shared" si="8"/>
        <v>8463624</v>
      </c>
      <c r="M116" s="177">
        <f t="shared" si="8"/>
        <v>0</v>
      </c>
      <c r="N116" s="177">
        <f t="shared" si="8"/>
        <v>50465985.719999999</v>
      </c>
      <c r="O116" s="177">
        <f t="shared" si="8"/>
        <v>733220023.31999993</v>
      </c>
      <c r="P116" s="177">
        <f t="shared" si="8"/>
        <v>3777163.4799999995</v>
      </c>
      <c r="Q116" s="177">
        <f t="shared" si="8"/>
        <v>126812214.52</v>
      </c>
      <c r="R116" s="177">
        <f t="shared" si="8"/>
        <v>57752297.919999994</v>
      </c>
      <c r="S116" s="177">
        <f t="shared" si="8"/>
        <v>203703153.47999999</v>
      </c>
      <c r="T116" s="177">
        <f t="shared" si="8"/>
        <v>459953476.11999995</v>
      </c>
      <c r="U116" s="177">
        <f t="shared" si="8"/>
        <v>841163781.71999991</v>
      </c>
      <c r="V116" s="177">
        <f t="shared" si="8"/>
        <v>465935522.15999997</v>
      </c>
      <c r="W116" s="177">
        <f t="shared" si="8"/>
        <v>330777957.35999995</v>
      </c>
      <c r="X116" s="177">
        <f t="shared" si="8"/>
        <v>219884951.51999998</v>
      </c>
      <c r="Y116" s="177">
        <f t="shared" si="8"/>
        <v>0</v>
      </c>
      <c r="AA116" s="12"/>
      <c r="AB116" s="12"/>
      <c r="AC116" s="12"/>
      <c r="AD116" s="12"/>
      <c r="AE116" s="42">
        <f t="shared" si="3"/>
        <v>4088630268.5999999</v>
      </c>
    </row>
    <row r="117" spans="2:31">
      <c r="B117" s="313"/>
      <c r="C117" s="336"/>
      <c r="D117" s="327"/>
      <c r="E117" s="145" t="s">
        <v>270</v>
      </c>
      <c r="F117" s="177"/>
      <c r="G117" s="177"/>
      <c r="H117" s="177"/>
      <c r="I117" s="177"/>
      <c r="J117" s="230">
        <f>J301*$D$115</f>
        <v>-3777163.4799999995</v>
      </c>
      <c r="K117" s="179"/>
      <c r="L117" s="179"/>
      <c r="M117" s="179"/>
      <c r="N117" s="180"/>
      <c r="O117" s="176"/>
      <c r="P117" s="177"/>
      <c r="Q117" s="176"/>
      <c r="R117" s="176"/>
      <c r="S117" s="176"/>
      <c r="T117" s="176"/>
      <c r="U117" s="176"/>
      <c r="V117" s="176"/>
      <c r="W117" s="176"/>
      <c r="X117" s="176"/>
      <c r="Y117" s="5"/>
      <c r="AA117" s="12"/>
      <c r="AB117" s="12"/>
      <c r="AC117" s="12"/>
      <c r="AD117" s="12"/>
      <c r="AE117" s="42">
        <f t="shared" si="3"/>
        <v>-3777163.4799999995</v>
      </c>
    </row>
    <row r="118" spans="2:31">
      <c r="B118" s="34" t="s">
        <v>370</v>
      </c>
      <c r="C118" s="161">
        <v>44279</v>
      </c>
      <c r="D118" s="173">
        <v>1126.2</v>
      </c>
      <c r="E118" s="145" t="s">
        <v>371</v>
      </c>
      <c r="F118" s="177"/>
      <c r="G118" s="177"/>
      <c r="H118" s="177"/>
      <c r="I118" s="177"/>
      <c r="J118" s="237"/>
      <c r="K118" s="179"/>
      <c r="L118" s="179"/>
      <c r="M118" s="179"/>
      <c r="N118" s="180"/>
      <c r="O118" s="176"/>
      <c r="P118" s="177"/>
      <c r="Q118" s="176"/>
      <c r="R118" s="176"/>
      <c r="S118" s="176"/>
      <c r="T118" s="176"/>
      <c r="U118" s="176"/>
      <c r="V118" s="176"/>
      <c r="W118" s="176"/>
      <c r="X118" s="176">
        <f>ROUND(X302*D118,-3)</f>
        <v>10657000000</v>
      </c>
      <c r="Y118" s="5"/>
      <c r="AA118" s="12"/>
      <c r="AB118" s="12"/>
      <c r="AC118" s="12"/>
      <c r="AD118" s="12"/>
      <c r="AE118" s="42">
        <f t="shared" si="3"/>
        <v>10657000000</v>
      </c>
    </row>
    <row r="119" spans="2:31">
      <c r="B119" s="34" t="s">
        <v>373</v>
      </c>
      <c r="C119" s="161">
        <v>44293</v>
      </c>
      <c r="D119" s="173">
        <v>1122.4000000000001</v>
      </c>
      <c r="E119" s="145" t="s">
        <v>374</v>
      </c>
      <c r="F119" s="177"/>
      <c r="G119" s="177"/>
      <c r="H119" s="177"/>
      <c r="I119" s="177"/>
      <c r="J119" s="237"/>
      <c r="K119" s="179"/>
      <c r="L119" s="179"/>
      <c r="M119" s="179"/>
      <c r="N119" s="180"/>
      <c r="O119" s="176"/>
      <c r="P119" s="177"/>
      <c r="Q119" s="176"/>
      <c r="R119" s="176"/>
      <c r="S119" s="176"/>
      <c r="T119" s="176"/>
      <c r="U119" s="176">
        <f>ROUND(D119*U303,-3)</f>
        <v>11200000000</v>
      </c>
      <c r="V119" s="176">
        <f>ROUND(V303*D119,-3)</f>
        <v>1500000000</v>
      </c>
      <c r="W119" s="176"/>
      <c r="X119" s="176"/>
      <c r="Y119" s="5"/>
      <c r="AA119" s="12"/>
      <c r="AB119" s="12"/>
      <c r="AC119" s="12"/>
      <c r="AD119" s="12"/>
      <c r="AE119" s="42">
        <f t="shared" si="3"/>
        <v>12700000000</v>
      </c>
    </row>
    <row r="120" spans="2:31">
      <c r="B120" s="311" t="s">
        <v>375</v>
      </c>
      <c r="C120" s="334">
        <v>44320</v>
      </c>
      <c r="D120" s="325">
        <v>1112</v>
      </c>
      <c r="E120" s="145" t="s">
        <v>376</v>
      </c>
      <c r="F120" s="177"/>
      <c r="G120" s="177"/>
      <c r="H120" s="177"/>
      <c r="I120" s="177"/>
      <c r="J120" s="237"/>
      <c r="K120" s="179"/>
      <c r="L120" s="179"/>
      <c r="M120" s="179"/>
      <c r="N120" s="180"/>
      <c r="O120" s="176"/>
      <c r="P120" s="177"/>
      <c r="Q120" s="176"/>
      <c r="R120" s="176"/>
      <c r="S120" s="176"/>
      <c r="T120" s="176"/>
      <c r="U120" s="176"/>
      <c r="V120" s="176">
        <f>ROUND(V304*D120,-3)</f>
        <v>500000000</v>
      </c>
      <c r="W120" s="176"/>
      <c r="X120" s="176"/>
      <c r="Y120" s="5"/>
      <c r="AA120" s="12"/>
      <c r="AB120" s="12"/>
      <c r="AC120" s="12"/>
      <c r="AD120" s="12"/>
      <c r="AE120" s="42">
        <f t="shared" si="3"/>
        <v>500000000</v>
      </c>
    </row>
    <row r="121" spans="2:31">
      <c r="B121" s="312"/>
      <c r="C121" s="335"/>
      <c r="D121" s="326"/>
      <c r="E121" s="145" t="s">
        <v>378</v>
      </c>
      <c r="F121" s="176">
        <f t="shared" ref="F121:V121" si="9">F305*$D$120</f>
        <v>292955288</v>
      </c>
      <c r="G121" s="176">
        <f t="shared" si="9"/>
        <v>32622744</v>
      </c>
      <c r="H121" s="176">
        <f t="shared" si="9"/>
        <v>41706672</v>
      </c>
      <c r="I121" s="176">
        <f t="shared" si="9"/>
        <v>88974456</v>
      </c>
      <c r="J121" s="176">
        <f t="shared" si="9"/>
        <v>3472776</v>
      </c>
      <c r="K121" s="176">
        <f t="shared" si="9"/>
        <v>26918184</v>
      </c>
      <c r="L121" s="176">
        <f t="shared" si="9"/>
        <v>29677056</v>
      </c>
      <c r="M121" s="176">
        <f t="shared" si="9"/>
        <v>0</v>
      </c>
      <c r="N121" s="176">
        <f t="shared" si="9"/>
        <v>98093968</v>
      </c>
      <c r="O121" s="176">
        <f t="shared" si="9"/>
        <v>527633992</v>
      </c>
      <c r="P121" s="176">
        <f t="shared" si="9"/>
        <v>0</v>
      </c>
      <c r="Q121" s="176">
        <f t="shared" si="9"/>
        <v>135641760</v>
      </c>
      <c r="R121" s="176">
        <f t="shared" si="9"/>
        <v>202599728</v>
      </c>
      <c r="S121" s="176">
        <f t="shared" si="9"/>
        <v>349279200</v>
      </c>
      <c r="T121" s="176">
        <f t="shared" si="9"/>
        <v>142939816</v>
      </c>
      <c r="U121" s="176">
        <f t="shared" si="9"/>
        <v>850226304</v>
      </c>
      <c r="V121" s="176">
        <f t="shared" si="9"/>
        <v>457452336</v>
      </c>
      <c r="W121" s="176"/>
      <c r="X121" s="176">
        <f>X305*$D$120</f>
        <v>524332464</v>
      </c>
      <c r="Y121" s="5"/>
      <c r="AA121" s="12"/>
      <c r="AB121" s="12"/>
      <c r="AC121" s="12"/>
      <c r="AD121" s="12"/>
      <c r="AE121" s="42">
        <f t="shared" si="3"/>
        <v>3804526744</v>
      </c>
    </row>
    <row r="122" spans="2:31">
      <c r="B122" s="313"/>
      <c r="C122" s="336"/>
      <c r="D122" s="327"/>
      <c r="E122" s="145" t="s">
        <v>270</v>
      </c>
      <c r="F122" s="177"/>
      <c r="G122" s="177"/>
      <c r="H122" s="177"/>
      <c r="I122" s="177"/>
      <c r="J122" s="237">
        <f>J306*$D$120</f>
        <v>-1292144</v>
      </c>
      <c r="K122" s="179"/>
      <c r="L122" s="179"/>
      <c r="M122" s="179"/>
      <c r="N122" s="180"/>
      <c r="O122" s="176"/>
      <c r="P122" s="237">
        <f>P306*$D$120</f>
        <v>1292144</v>
      </c>
      <c r="Q122" s="176"/>
      <c r="R122" s="176"/>
      <c r="S122" s="176"/>
      <c r="T122" s="176"/>
      <c r="U122" s="176"/>
      <c r="V122" s="176"/>
      <c r="W122" s="176"/>
      <c r="X122" s="176"/>
      <c r="Y122" s="5"/>
      <c r="AA122" s="12"/>
      <c r="AB122" s="12"/>
      <c r="AC122" s="12"/>
      <c r="AD122" s="12"/>
      <c r="AE122" s="42">
        <f t="shared" si="3"/>
        <v>0</v>
      </c>
    </row>
    <row r="123" spans="2:31">
      <c r="B123" s="34" t="s">
        <v>382</v>
      </c>
      <c r="C123" s="161">
        <v>44361</v>
      </c>
      <c r="D123" s="173">
        <v>1107</v>
      </c>
      <c r="E123" s="145" t="s">
        <v>381</v>
      </c>
      <c r="F123" s="177"/>
      <c r="G123" s="177"/>
      <c r="H123" s="177"/>
      <c r="I123" s="177"/>
      <c r="J123" s="237"/>
      <c r="K123" s="179"/>
      <c r="L123" s="179"/>
      <c r="M123" s="179"/>
      <c r="N123" s="180"/>
      <c r="O123" s="176"/>
      <c r="P123" s="237"/>
      <c r="Q123" s="176"/>
      <c r="R123" s="176"/>
      <c r="S123" s="176"/>
      <c r="T123" s="176"/>
      <c r="U123" s="176">
        <f>ROUND(U307*D123,-3)</f>
        <v>1700000000</v>
      </c>
      <c r="V123" s="176"/>
      <c r="W123" s="176"/>
      <c r="X123" s="176"/>
      <c r="Y123" s="5"/>
      <c r="AA123" s="12"/>
      <c r="AB123" s="12"/>
      <c r="AC123" s="12"/>
      <c r="AD123" s="12"/>
      <c r="AE123" s="42">
        <f t="shared" si="3"/>
        <v>1700000000</v>
      </c>
    </row>
    <row r="124" spans="2:31">
      <c r="B124" s="311" t="s">
        <v>389</v>
      </c>
      <c r="C124" s="334">
        <v>44417</v>
      </c>
      <c r="D124" s="325">
        <v>1141.9000000000001</v>
      </c>
      <c r="E124" s="145" t="s">
        <v>376</v>
      </c>
      <c r="F124" s="177"/>
      <c r="G124" s="177"/>
      <c r="H124" s="177"/>
      <c r="I124" s="177"/>
      <c r="J124" s="237"/>
      <c r="K124" s="179"/>
      <c r="L124" s="179"/>
      <c r="M124" s="179"/>
      <c r="N124" s="180"/>
      <c r="O124" s="176"/>
      <c r="P124" s="237"/>
      <c r="Q124" s="176"/>
      <c r="R124" s="176"/>
      <c r="S124" s="176"/>
      <c r="T124" s="176"/>
      <c r="U124" s="176"/>
      <c r="V124" s="176">
        <f>ROUNDUP(V308*D124,-3)</f>
        <v>5302723000</v>
      </c>
      <c r="W124" s="176"/>
      <c r="X124" s="176"/>
      <c r="Y124" s="5"/>
      <c r="AA124" s="12"/>
      <c r="AB124" s="12"/>
      <c r="AC124" s="12"/>
      <c r="AD124" s="12"/>
      <c r="AE124" s="42">
        <f t="shared" si="3"/>
        <v>5302723000</v>
      </c>
    </row>
    <row r="125" spans="2:31">
      <c r="B125" s="313"/>
      <c r="C125" s="336"/>
      <c r="D125" s="327"/>
      <c r="E125" s="145" t="s">
        <v>390</v>
      </c>
      <c r="F125" s="177"/>
      <c r="G125" s="177"/>
      <c r="H125" s="177"/>
      <c r="I125" s="177"/>
      <c r="J125" s="237"/>
      <c r="K125" s="179"/>
      <c r="L125" s="179"/>
      <c r="M125" s="179"/>
      <c r="N125" s="180"/>
      <c r="O125" s="176"/>
      <c r="P125" s="237"/>
      <c r="Q125" s="176"/>
      <c r="R125" s="176"/>
      <c r="S125" s="176"/>
      <c r="T125" s="176"/>
      <c r="U125" s="176"/>
      <c r="V125" s="176">
        <f>ROUND(400453*D124,-3)</f>
        <v>457277000</v>
      </c>
      <c r="W125" s="176"/>
      <c r="X125" s="176"/>
      <c r="Y125" s="5"/>
      <c r="AA125" s="12"/>
      <c r="AB125" s="12"/>
      <c r="AC125" s="12"/>
      <c r="AD125" s="12"/>
      <c r="AE125" s="42">
        <f t="shared" si="3"/>
        <v>457277000</v>
      </c>
    </row>
    <row r="126" spans="2:31">
      <c r="B126" s="311" t="s">
        <v>395</v>
      </c>
      <c r="C126" s="334">
        <v>44490</v>
      </c>
      <c r="D126" s="325">
        <v>1181.8</v>
      </c>
      <c r="E126" s="145" t="s">
        <v>381</v>
      </c>
      <c r="F126" s="177">
        <f t="shared" ref="F126:T126" si="10">F310*$D$126</f>
        <v>0</v>
      </c>
      <c r="G126" s="177">
        <f t="shared" si="10"/>
        <v>0</v>
      </c>
      <c r="H126" s="177">
        <f t="shared" si="10"/>
        <v>0</v>
      </c>
      <c r="I126" s="177">
        <f t="shared" si="10"/>
        <v>0</v>
      </c>
      <c r="J126" s="237">
        <f t="shared" si="10"/>
        <v>0</v>
      </c>
      <c r="K126" s="179">
        <f t="shared" si="10"/>
        <v>0</v>
      </c>
      <c r="L126" s="179">
        <f t="shared" si="10"/>
        <v>0</v>
      </c>
      <c r="M126" s="179">
        <f t="shared" si="10"/>
        <v>0</v>
      </c>
      <c r="N126" s="180">
        <f t="shared" si="10"/>
        <v>0</v>
      </c>
      <c r="O126" s="176">
        <f t="shared" si="10"/>
        <v>0</v>
      </c>
      <c r="P126" s="237">
        <f t="shared" si="10"/>
        <v>0</v>
      </c>
      <c r="Q126" s="176">
        <f t="shared" si="10"/>
        <v>0</v>
      </c>
      <c r="R126" s="176">
        <f t="shared" si="10"/>
        <v>0</v>
      </c>
      <c r="S126" s="176">
        <f t="shared" si="10"/>
        <v>0</v>
      </c>
      <c r="T126" s="176">
        <f t="shared" si="10"/>
        <v>0</v>
      </c>
      <c r="U126" s="176">
        <f>ROUND(U310*$D$126,-3)</f>
        <v>1800000000</v>
      </c>
      <c r="V126" s="176">
        <f t="shared" ref="V126:Y127" si="11">V310*$D$126</f>
        <v>0</v>
      </c>
      <c r="W126" s="176">
        <f t="shared" si="11"/>
        <v>0</v>
      </c>
      <c r="X126" s="176">
        <f t="shared" si="11"/>
        <v>0</v>
      </c>
      <c r="Y126" s="5">
        <f t="shared" si="11"/>
        <v>0</v>
      </c>
      <c r="AA126" s="12"/>
      <c r="AB126" s="12"/>
      <c r="AC126" s="12"/>
      <c r="AD126" s="12"/>
      <c r="AE126" s="42">
        <f t="shared" si="3"/>
        <v>1800000000</v>
      </c>
    </row>
    <row r="127" spans="2:31">
      <c r="B127" s="312"/>
      <c r="C127" s="335"/>
      <c r="D127" s="326"/>
      <c r="E127" s="145" t="s">
        <v>396</v>
      </c>
      <c r="F127" s="177">
        <f t="shared" ref="F127:T127" si="12">F311*$D$126</f>
        <v>333551232</v>
      </c>
      <c r="G127" s="177">
        <f t="shared" si="12"/>
        <v>0</v>
      </c>
      <c r="H127" s="177">
        <f t="shared" si="12"/>
        <v>0</v>
      </c>
      <c r="I127" s="177">
        <f t="shared" si="12"/>
        <v>78930058.399999991</v>
      </c>
      <c r="J127" s="237">
        <f t="shared" si="12"/>
        <v>0</v>
      </c>
      <c r="K127" s="179">
        <f t="shared" si="12"/>
        <v>106284001.2</v>
      </c>
      <c r="L127" s="179">
        <f t="shared" si="12"/>
        <v>174421862</v>
      </c>
      <c r="M127" s="179">
        <f t="shared" si="12"/>
        <v>121821125.8</v>
      </c>
      <c r="N127" s="180">
        <f t="shared" si="12"/>
        <v>454478917</v>
      </c>
      <c r="O127" s="176">
        <f t="shared" si="12"/>
        <v>972526856</v>
      </c>
      <c r="P127" s="237">
        <f t="shared" si="12"/>
        <v>0</v>
      </c>
      <c r="Q127" s="176">
        <f t="shared" si="12"/>
        <v>335455111.80000001</v>
      </c>
      <c r="R127" s="176">
        <f t="shared" si="12"/>
        <v>150248143</v>
      </c>
      <c r="S127" s="176">
        <f t="shared" si="12"/>
        <v>851041361.39999998</v>
      </c>
      <c r="T127" s="176">
        <f t="shared" si="12"/>
        <v>1212388529.3999999</v>
      </c>
      <c r="U127" s="176">
        <f>U311*$D$126</f>
        <v>1999221515</v>
      </c>
      <c r="V127" s="176">
        <f t="shared" si="11"/>
        <v>973667293</v>
      </c>
      <c r="W127" s="176">
        <f t="shared" si="11"/>
        <v>0</v>
      </c>
      <c r="X127" s="176">
        <f t="shared" si="11"/>
        <v>1214144684.2</v>
      </c>
      <c r="Y127" s="5">
        <f t="shared" si="11"/>
        <v>0</v>
      </c>
      <c r="AA127" s="12"/>
      <c r="AB127" s="12"/>
      <c r="AC127" s="12"/>
      <c r="AD127" s="12"/>
      <c r="AE127" s="42">
        <f t="shared" si="3"/>
        <v>8978180690.2000008</v>
      </c>
    </row>
    <row r="128" spans="2:31">
      <c r="B128" s="313"/>
      <c r="C128" s="336"/>
      <c r="D128" s="327"/>
      <c r="E128" s="145" t="s">
        <v>397</v>
      </c>
      <c r="F128" s="177">
        <f t="shared" ref="F128:T128" si="13">F312*$D$126</f>
        <v>0</v>
      </c>
      <c r="G128" s="177">
        <f t="shared" si="13"/>
        <v>0</v>
      </c>
      <c r="H128" s="177">
        <f t="shared" si="13"/>
        <v>0</v>
      </c>
      <c r="I128" s="177">
        <f t="shared" si="13"/>
        <v>0</v>
      </c>
      <c r="J128" s="237">
        <f t="shared" si="13"/>
        <v>0</v>
      </c>
      <c r="K128" s="230">
        <f t="shared" si="13"/>
        <v>-2807956.8</v>
      </c>
      <c r="L128" s="179">
        <f t="shared" si="13"/>
        <v>0</v>
      </c>
      <c r="M128" s="179">
        <f t="shared" si="13"/>
        <v>0</v>
      </c>
      <c r="N128" s="180">
        <f t="shared" si="13"/>
        <v>0</v>
      </c>
      <c r="O128" s="176">
        <f t="shared" si="13"/>
        <v>0</v>
      </c>
      <c r="P128" s="237">
        <f t="shared" si="13"/>
        <v>2807956.8</v>
      </c>
      <c r="Q128" s="176">
        <f t="shared" si="13"/>
        <v>0</v>
      </c>
      <c r="R128" s="176">
        <f t="shared" si="13"/>
        <v>0</v>
      </c>
      <c r="S128" s="176">
        <f t="shared" si="13"/>
        <v>0</v>
      </c>
      <c r="T128" s="176">
        <f t="shared" si="13"/>
        <v>0</v>
      </c>
      <c r="U128" s="176">
        <f>U312*$D$126</f>
        <v>0</v>
      </c>
      <c r="V128" s="176">
        <f>V312*$D$126</f>
        <v>0</v>
      </c>
      <c r="W128" s="176">
        <f>W312*$D$126</f>
        <v>0</v>
      </c>
      <c r="X128" s="176"/>
      <c r="Y128" s="5">
        <f>Y312*$D$126</f>
        <v>0</v>
      </c>
      <c r="AA128" s="12"/>
      <c r="AB128" s="12"/>
      <c r="AC128" s="12"/>
      <c r="AD128" s="12"/>
      <c r="AE128" s="42">
        <f t="shared" si="3"/>
        <v>0</v>
      </c>
    </row>
    <row r="129" spans="2:31">
      <c r="B129" s="337" t="s">
        <v>402</v>
      </c>
      <c r="C129" s="334">
        <v>44546</v>
      </c>
      <c r="D129" s="340">
        <v>1175.5</v>
      </c>
      <c r="E129" s="145" t="s">
        <v>403</v>
      </c>
      <c r="F129" s="177"/>
      <c r="G129" s="177"/>
      <c r="H129" s="177"/>
      <c r="I129" s="177"/>
      <c r="J129" s="237"/>
      <c r="K129" s="237"/>
      <c r="L129" s="177"/>
      <c r="M129" s="177"/>
      <c r="N129" s="180"/>
      <c r="O129" s="180"/>
      <c r="P129" s="237"/>
      <c r="Q129" s="180"/>
      <c r="R129" s="180"/>
      <c r="S129" s="180"/>
      <c r="T129" s="180"/>
      <c r="U129" s="180">
        <f>ROUNDUP(U313*$D$313,-3)</f>
        <v>2500000000</v>
      </c>
      <c r="V129" s="180"/>
      <c r="W129" s="180"/>
      <c r="X129" s="180">
        <f>ROUNDUP(X313*$D$313,-3)</f>
        <v>4400000000</v>
      </c>
      <c r="Y129" s="145"/>
      <c r="AA129" s="104"/>
      <c r="AB129" s="104"/>
      <c r="AC129" s="104"/>
      <c r="AD129" s="104"/>
      <c r="AE129" s="42">
        <f t="shared" si="3"/>
        <v>6900000000</v>
      </c>
    </row>
    <row r="130" spans="2:31">
      <c r="B130" s="338"/>
      <c r="C130" s="335"/>
      <c r="D130" s="341"/>
      <c r="E130" s="145" t="s">
        <v>404</v>
      </c>
      <c r="F130" s="177">
        <f t="shared" ref="F130:Y130" si="14">F314*$D$129</f>
        <v>0</v>
      </c>
      <c r="G130" s="177">
        <f t="shared" si="14"/>
        <v>0</v>
      </c>
      <c r="H130" s="177">
        <f t="shared" si="14"/>
        <v>42805832.5</v>
      </c>
      <c r="I130" s="177">
        <f t="shared" si="14"/>
        <v>42714143.5</v>
      </c>
      <c r="J130" s="177">
        <f t="shared" si="14"/>
        <v>92558870</v>
      </c>
      <c r="K130" s="177">
        <f t="shared" si="14"/>
        <v>47617154</v>
      </c>
      <c r="L130" s="177">
        <f t="shared" si="14"/>
        <v>41938313.5</v>
      </c>
      <c r="M130" s="177">
        <f t="shared" si="14"/>
        <v>28492944.5</v>
      </c>
      <c r="N130" s="177">
        <f t="shared" si="14"/>
        <v>42051161.5</v>
      </c>
      <c r="O130" s="177">
        <f t="shared" si="14"/>
        <v>41995913</v>
      </c>
      <c r="P130" s="177">
        <f t="shared" si="14"/>
        <v>0</v>
      </c>
      <c r="Q130" s="177">
        <f t="shared" si="14"/>
        <v>42008843.5</v>
      </c>
      <c r="R130" s="177">
        <f t="shared" si="14"/>
        <v>42105234.5</v>
      </c>
      <c r="S130" s="177">
        <f t="shared" si="14"/>
        <v>41406987.5</v>
      </c>
      <c r="T130" s="177">
        <f t="shared" si="14"/>
        <v>49345139</v>
      </c>
      <c r="U130" s="177">
        <f t="shared" si="14"/>
        <v>41705564.5</v>
      </c>
      <c r="V130" s="177">
        <f t="shared" si="14"/>
        <v>27477312.5</v>
      </c>
      <c r="W130" s="177">
        <f t="shared" si="14"/>
        <v>0</v>
      </c>
      <c r="X130" s="177">
        <f t="shared" si="14"/>
        <v>10708805</v>
      </c>
      <c r="Y130" s="177">
        <f t="shared" si="14"/>
        <v>0</v>
      </c>
      <c r="AA130" s="104"/>
      <c r="AB130" s="104"/>
      <c r="AC130" s="104"/>
      <c r="AD130" s="104"/>
      <c r="AE130" s="42">
        <f t="shared" si="3"/>
        <v>634932219</v>
      </c>
    </row>
    <row r="131" spans="2:31">
      <c r="B131" s="339"/>
      <c r="C131" s="336"/>
      <c r="D131" s="342"/>
      <c r="E131" s="145" t="s">
        <v>271</v>
      </c>
      <c r="F131" s="177"/>
      <c r="G131" s="177"/>
      <c r="H131" s="177"/>
      <c r="I131" s="177"/>
      <c r="J131" s="237">
        <f>J315*$D$129</f>
        <v>-50923835.5</v>
      </c>
      <c r="K131" s="237"/>
      <c r="L131" s="237"/>
      <c r="M131" s="237"/>
      <c r="N131" s="237"/>
      <c r="O131" s="237"/>
      <c r="P131" s="237">
        <f>P315*$D$129</f>
        <v>50923835.5</v>
      </c>
      <c r="Q131" s="237"/>
      <c r="R131" s="237"/>
      <c r="S131" s="237"/>
      <c r="T131" s="237"/>
      <c r="U131" s="237"/>
      <c r="V131" s="237"/>
      <c r="W131" s="180"/>
      <c r="X131" s="180"/>
      <c r="Y131" s="145"/>
      <c r="AA131" s="104"/>
      <c r="AB131" s="104"/>
      <c r="AC131" s="104"/>
      <c r="AD131" s="104"/>
      <c r="AE131" s="42">
        <f t="shared" si="3"/>
        <v>0</v>
      </c>
    </row>
    <row r="132" spans="2:31">
      <c r="B132" s="337" t="s">
        <v>410</v>
      </c>
      <c r="C132" s="334">
        <v>44601</v>
      </c>
      <c r="D132" s="340">
        <v>1190.4000000000001</v>
      </c>
      <c r="E132" s="145" t="s">
        <v>381</v>
      </c>
      <c r="F132" s="177"/>
      <c r="G132" s="177"/>
      <c r="H132" s="177"/>
      <c r="I132" s="177"/>
      <c r="J132" s="237"/>
      <c r="K132" s="237"/>
      <c r="L132" s="177"/>
      <c r="M132" s="177"/>
      <c r="N132" s="180"/>
      <c r="O132" s="180"/>
      <c r="P132" s="180"/>
      <c r="Q132" s="180"/>
      <c r="R132" s="180"/>
      <c r="S132" s="180"/>
      <c r="T132" s="180"/>
      <c r="U132" s="180">
        <f>ROUND(U316*$D$132,-3)</f>
        <v>1000000000</v>
      </c>
      <c r="V132" s="180"/>
      <c r="W132" s="180"/>
      <c r="X132" s="180"/>
      <c r="Y132" s="145"/>
      <c r="AA132" s="104"/>
      <c r="AB132" s="104"/>
      <c r="AC132" s="104"/>
      <c r="AD132" s="104"/>
      <c r="AE132" s="42">
        <f t="shared" ref="AE132:AE155" si="15">SUM(F132:Y132)</f>
        <v>1000000000</v>
      </c>
    </row>
    <row r="133" spans="2:31">
      <c r="B133" s="338"/>
      <c r="C133" s="335"/>
      <c r="D133" s="341"/>
      <c r="E133" s="145" t="s">
        <v>411</v>
      </c>
      <c r="F133" s="177">
        <f t="shared" ref="F133:V133" si="16">F317*$D$132</f>
        <v>36395289.600000001</v>
      </c>
      <c r="G133" s="177">
        <f t="shared" si="16"/>
        <v>0</v>
      </c>
      <c r="H133" s="177">
        <f t="shared" si="16"/>
        <v>0</v>
      </c>
      <c r="I133" s="177">
        <f t="shared" si="16"/>
        <v>7145971.2000000002</v>
      </c>
      <c r="J133" s="177">
        <f t="shared" si="16"/>
        <v>0</v>
      </c>
      <c r="K133" s="177">
        <f t="shared" si="16"/>
        <v>54756019.200000003</v>
      </c>
      <c r="L133" s="177">
        <f t="shared" si="16"/>
        <v>85868313.600000009</v>
      </c>
      <c r="M133" s="177">
        <f t="shared" si="16"/>
        <v>0</v>
      </c>
      <c r="N133" s="177">
        <f t="shared" si="16"/>
        <v>217515840.00000003</v>
      </c>
      <c r="O133" s="177">
        <f t="shared" si="16"/>
        <v>407537011.20000005</v>
      </c>
      <c r="P133" s="177">
        <f t="shared" si="16"/>
        <v>0</v>
      </c>
      <c r="Q133" s="177">
        <f t="shared" si="16"/>
        <v>164227584</v>
      </c>
      <c r="R133" s="177">
        <f t="shared" si="16"/>
        <v>73590528</v>
      </c>
      <c r="S133" s="177">
        <f t="shared" si="16"/>
        <v>210621043.20000002</v>
      </c>
      <c r="T133" s="177">
        <f t="shared" si="16"/>
        <v>146623948.80000001</v>
      </c>
      <c r="U133" s="177">
        <f t="shared" si="16"/>
        <v>369397785.60000002</v>
      </c>
      <c r="V133" s="177">
        <f t="shared" si="16"/>
        <v>5197286.4000000004</v>
      </c>
      <c r="W133" s="177"/>
      <c r="X133" s="177">
        <f>X317*$D$132</f>
        <v>508950758.40000004</v>
      </c>
      <c r="Y133" s="177"/>
      <c r="AA133" s="104"/>
      <c r="AB133" s="104"/>
      <c r="AC133" s="104"/>
      <c r="AD133" s="104"/>
      <c r="AE133" s="42">
        <f t="shared" si="15"/>
        <v>2287827379.2000003</v>
      </c>
    </row>
    <row r="134" spans="2:31">
      <c r="B134" s="339"/>
      <c r="C134" s="336"/>
      <c r="D134" s="342"/>
      <c r="E134" s="145" t="s">
        <v>271</v>
      </c>
      <c r="F134" s="177"/>
      <c r="G134" s="177"/>
      <c r="H134" s="177"/>
      <c r="I134" s="177"/>
      <c r="J134" s="237"/>
      <c r="K134" s="237">
        <f>K318*$D$132</f>
        <v>-1458240</v>
      </c>
      <c r="L134" s="177"/>
      <c r="M134" s="177"/>
      <c r="N134" s="180"/>
      <c r="O134" s="180"/>
      <c r="P134" s="180">
        <f>P318*$D$132</f>
        <v>1458240</v>
      </c>
      <c r="Q134" s="180"/>
      <c r="R134" s="180"/>
      <c r="S134" s="180"/>
      <c r="T134" s="180"/>
      <c r="U134" s="180"/>
      <c r="V134" s="180"/>
      <c r="W134" s="180"/>
      <c r="X134" s="180"/>
      <c r="Y134" s="145"/>
      <c r="AA134" s="104"/>
      <c r="AB134" s="104"/>
      <c r="AC134" s="104"/>
      <c r="AD134" s="104"/>
      <c r="AE134" s="42">
        <f t="shared" si="15"/>
        <v>0</v>
      </c>
    </row>
    <row r="135" spans="2:31">
      <c r="B135" s="266" t="s">
        <v>412</v>
      </c>
      <c r="C135" s="161">
        <v>44644</v>
      </c>
      <c r="D135" s="265">
        <v>1228.5</v>
      </c>
      <c r="E135" s="145" t="s">
        <v>403</v>
      </c>
      <c r="F135" s="177"/>
      <c r="G135" s="177"/>
      <c r="H135" s="177"/>
      <c r="I135" s="177"/>
      <c r="J135" s="237"/>
      <c r="K135" s="237"/>
      <c r="L135" s="177"/>
      <c r="M135" s="177"/>
      <c r="N135" s="180"/>
      <c r="O135" s="180"/>
      <c r="P135" s="180"/>
      <c r="Q135" s="180"/>
      <c r="R135" s="180"/>
      <c r="S135" s="180"/>
      <c r="T135" s="180"/>
      <c r="U135" s="180">
        <f>ROUND(D135*U319,-4)</f>
        <v>1500000000</v>
      </c>
      <c r="V135" s="180"/>
      <c r="W135" s="180"/>
      <c r="X135" s="180">
        <f>ROUND(D135*X319,-4)</f>
        <v>3000000000</v>
      </c>
      <c r="Y135" s="145"/>
      <c r="AA135" s="104"/>
      <c r="AB135" s="104"/>
      <c r="AC135" s="104"/>
      <c r="AD135" s="104"/>
      <c r="AE135" s="42">
        <f t="shared" si="15"/>
        <v>4500000000</v>
      </c>
    </row>
    <row r="136" spans="2:31" ht="12.75" customHeight="1">
      <c r="B136" s="266" t="s">
        <v>416</v>
      </c>
      <c r="C136" s="161">
        <v>44665</v>
      </c>
      <c r="D136" s="265">
        <v>1210.7</v>
      </c>
      <c r="E136" s="145" t="s">
        <v>417</v>
      </c>
      <c r="F136" s="177"/>
      <c r="G136" s="177"/>
      <c r="H136" s="177"/>
      <c r="I136" s="177"/>
      <c r="J136" s="237"/>
      <c r="K136" s="237"/>
      <c r="L136" s="177"/>
      <c r="M136" s="177"/>
      <c r="N136" s="180"/>
      <c r="O136" s="180"/>
      <c r="P136" s="180"/>
      <c r="Q136" s="180"/>
      <c r="R136" s="180"/>
      <c r="S136" s="180"/>
      <c r="T136" s="180"/>
      <c r="U136" s="180">
        <f>ROUND(D136*U320,-4)</f>
        <v>1200000000</v>
      </c>
      <c r="V136" s="180">
        <f>ROUND(D136*V320,-4)</f>
        <v>1000000000</v>
      </c>
      <c r="W136" s="180"/>
      <c r="X136" s="180">
        <f>ROUND(D136*X320,-4)</f>
        <v>2000000000</v>
      </c>
      <c r="Y136" s="145"/>
      <c r="AA136" s="104"/>
      <c r="AB136" s="104"/>
      <c r="AC136" s="104"/>
      <c r="AD136" s="104"/>
      <c r="AE136" s="42">
        <f t="shared" si="15"/>
        <v>4200000000</v>
      </c>
    </row>
    <row r="137" spans="2:31">
      <c r="B137" s="337" t="s">
        <v>420</v>
      </c>
      <c r="C137" s="334">
        <v>44694</v>
      </c>
      <c r="D137" s="340">
        <v>1248.3</v>
      </c>
      <c r="E137" s="145" t="s">
        <v>421</v>
      </c>
      <c r="F137" s="177">
        <f t="shared" ref="F137:Y137" si="17">ROUND(F321*$D$137,-3)</f>
        <v>0</v>
      </c>
      <c r="G137" s="177">
        <f t="shared" si="17"/>
        <v>0</v>
      </c>
      <c r="H137" s="177">
        <f t="shared" si="17"/>
        <v>0</v>
      </c>
      <c r="I137" s="177">
        <f t="shared" si="17"/>
        <v>0</v>
      </c>
      <c r="J137" s="145">
        <f t="shared" si="17"/>
        <v>0</v>
      </c>
      <c r="K137" s="145">
        <f t="shared" si="17"/>
        <v>0</v>
      </c>
      <c r="L137" s="177">
        <f t="shared" si="17"/>
        <v>0</v>
      </c>
      <c r="M137" s="177">
        <f t="shared" si="17"/>
        <v>0</v>
      </c>
      <c r="N137" s="180">
        <f t="shared" si="17"/>
        <v>0</v>
      </c>
      <c r="O137" s="180">
        <f t="shared" si="17"/>
        <v>0</v>
      </c>
      <c r="P137" s="180">
        <f t="shared" si="17"/>
        <v>0</v>
      </c>
      <c r="Q137" s="180">
        <f t="shared" si="17"/>
        <v>0</v>
      </c>
      <c r="R137" s="180">
        <f t="shared" si="17"/>
        <v>0</v>
      </c>
      <c r="S137" s="180">
        <f t="shared" si="17"/>
        <v>0</v>
      </c>
      <c r="T137" s="180">
        <f t="shared" si="17"/>
        <v>0</v>
      </c>
      <c r="U137" s="180">
        <f t="shared" si="17"/>
        <v>0</v>
      </c>
      <c r="V137" s="180">
        <f t="shared" si="17"/>
        <v>13100000000</v>
      </c>
      <c r="W137" s="180">
        <f t="shared" si="17"/>
        <v>0</v>
      </c>
      <c r="X137" s="180">
        <f t="shared" si="17"/>
        <v>500000000</v>
      </c>
      <c r="Y137" s="145">
        <f t="shared" si="17"/>
        <v>0</v>
      </c>
      <c r="AA137" s="104"/>
      <c r="AB137" s="104"/>
      <c r="AC137" s="104"/>
      <c r="AD137" s="104"/>
      <c r="AE137" s="42">
        <f t="shared" si="15"/>
        <v>13600000000</v>
      </c>
    </row>
    <row r="138" spans="2:31">
      <c r="B138" s="338"/>
      <c r="C138" s="335"/>
      <c r="D138" s="341"/>
      <c r="E138" s="145" t="s">
        <v>422</v>
      </c>
      <c r="F138" s="177">
        <f t="shared" ref="F138:Y138" si="18">ROUND(F322*$D$137,0)</f>
        <v>37855946</v>
      </c>
      <c r="G138" s="177">
        <f t="shared" si="18"/>
        <v>0</v>
      </c>
      <c r="H138" s="177">
        <f t="shared" si="18"/>
        <v>0</v>
      </c>
      <c r="I138" s="177">
        <f t="shared" si="18"/>
        <v>29196489</v>
      </c>
      <c r="J138" s="145">
        <f t="shared" si="18"/>
        <v>0</v>
      </c>
      <c r="K138" s="145">
        <f t="shared" si="18"/>
        <v>26068249</v>
      </c>
      <c r="L138" s="177">
        <f t="shared" si="18"/>
        <v>24678891</v>
      </c>
      <c r="M138" s="177">
        <f t="shared" si="18"/>
        <v>0</v>
      </c>
      <c r="N138" s="180">
        <f t="shared" si="18"/>
        <v>144842746</v>
      </c>
      <c r="O138" s="180">
        <f t="shared" si="18"/>
        <v>421642036</v>
      </c>
      <c r="P138" s="180">
        <f t="shared" si="18"/>
        <v>0</v>
      </c>
      <c r="Q138" s="180">
        <f t="shared" si="18"/>
        <v>55945061</v>
      </c>
      <c r="R138" s="180">
        <f t="shared" si="18"/>
        <v>73774530</v>
      </c>
      <c r="S138" s="180">
        <f t="shared" si="18"/>
        <v>178907604</v>
      </c>
      <c r="T138" s="180">
        <f t="shared" si="18"/>
        <v>152745733</v>
      </c>
      <c r="U138" s="180">
        <f t="shared" si="18"/>
        <v>351390209</v>
      </c>
      <c r="V138" s="180">
        <f t="shared" si="18"/>
        <v>494444140</v>
      </c>
      <c r="W138" s="180">
        <f t="shared" si="18"/>
        <v>0</v>
      </c>
      <c r="X138" s="180">
        <f t="shared" si="18"/>
        <v>576072974</v>
      </c>
      <c r="Y138" s="145">
        <f t="shared" si="18"/>
        <v>0</v>
      </c>
      <c r="AA138" s="104"/>
      <c r="AB138" s="104"/>
      <c r="AC138" s="104"/>
      <c r="AD138" s="104"/>
      <c r="AE138" s="42">
        <f t="shared" si="15"/>
        <v>2567564608</v>
      </c>
    </row>
    <row r="139" spans="2:31">
      <c r="B139" s="339"/>
      <c r="C139" s="336"/>
      <c r="D139" s="342"/>
      <c r="E139" s="145" t="s">
        <v>270</v>
      </c>
      <c r="F139" s="177">
        <f t="shared" ref="F139:Y139" si="19">ROUND(F323*$D$137,0)</f>
        <v>0</v>
      </c>
      <c r="G139" s="177">
        <f t="shared" si="19"/>
        <v>0</v>
      </c>
      <c r="H139" s="177">
        <f t="shared" si="19"/>
        <v>0</v>
      </c>
      <c r="I139" s="177">
        <f t="shared" si="19"/>
        <v>0</v>
      </c>
      <c r="J139" s="145">
        <f t="shared" si="19"/>
        <v>0</v>
      </c>
      <c r="K139" s="237">
        <f t="shared" si="19"/>
        <v>-1637770</v>
      </c>
      <c r="L139" s="177">
        <f t="shared" si="19"/>
        <v>0</v>
      </c>
      <c r="M139" s="177">
        <f t="shared" si="19"/>
        <v>0</v>
      </c>
      <c r="N139" s="180">
        <f t="shared" si="19"/>
        <v>0</v>
      </c>
      <c r="O139" s="180">
        <f t="shared" si="19"/>
        <v>0</v>
      </c>
      <c r="P139" s="180">
        <f t="shared" si="19"/>
        <v>1637770</v>
      </c>
      <c r="Q139" s="180">
        <f t="shared" si="19"/>
        <v>0</v>
      </c>
      <c r="R139" s="180">
        <f t="shared" si="19"/>
        <v>0</v>
      </c>
      <c r="S139" s="180">
        <f t="shared" si="19"/>
        <v>0</v>
      </c>
      <c r="T139" s="180">
        <f t="shared" si="19"/>
        <v>0</v>
      </c>
      <c r="U139" s="180">
        <f t="shared" si="19"/>
        <v>0</v>
      </c>
      <c r="V139" s="180">
        <f t="shared" si="19"/>
        <v>0</v>
      </c>
      <c r="W139" s="180">
        <f t="shared" si="19"/>
        <v>0</v>
      </c>
      <c r="X139" s="180">
        <f t="shared" si="19"/>
        <v>0</v>
      </c>
      <c r="Y139" s="145">
        <f t="shared" si="19"/>
        <v>0</v>
      </c>
      <c r="AA139" s="104"/>
      <c r="AB139" s="104"/>
      <c r="AC139" s="104"/>
      <c r="AD139" s="104"/>
      <c r="AE139" s="42">
        <f t="shared" si="15"/>
        <v>0</v>
      </c>
    </row>
    <row r="140" spans="2:31">
      <c r="B140" s="266" t="s">
        <v>434</v>
      </c>
      <c r="C140" s="161">
        <v>44729</v>
      </c>
      <c r="D140" s="265">
        <v>1238.4000000000001</v>
      </c>
      <c r="E140" s="145" t="s">
        <v>435</v>
      </c>
      <c r="F140" s="177"/>
      <c r="G140" s="177"/>
      <c r="H140" s="177"/>
      <c r="I140" s="177"/>
      <c r="J140" s="237"/>
      <c r="K140" s="237"/>
      <c r="L140" s="177"/>
      <c r="M140" s="177"/>
      <c r="N140" s="180"/>
      <c r="O140" s="180">
        <f>ROUNDUP(O324*$D$140,-3)</f>
        <v>4700000000</v>
      </c>
      <c r="P140" s="180"/>
      <c r="Q140" s="180"/>
      <c r="R140" s="180"/>
      <c r="S140" s="180"/>
      <c r="T140" s="180"/>
      <c r="U140" s="180"/>
      <c r="V140" s="180"/>
      <c r="W140" s="180"/>
      <c r="X140" s="180">
        <f>ROUNDDOWN(X324*$D$140,-3)</f>
        <v>1000000000</v>
      </c>
      <c r="Y140" s="145"/>
      <c r="AA140" s="104"/>
      <c r="AB140" s="104"/>
      <c r="AC140" s="104"/>
      <c r="AD140" s="104"/>
      <c r="AE140" s="42">
        <f t="shared" si="15"/>
        <v>5700000000</v>
      </c>
    </row>
    <row r="141" spans="2:31">
      <c r="B141" s="34" t="s">
        <v>438</v>
      </c>
      <c r="C141" s="161">
        <v>44757</v>
      </c>
      <c r="D141" s="173">
        <v>1294.2</v>
      </c>
      <c r="E141" s="145" t="s">
        <v>439</v>
      </c>
      <c r="F141" s="177"/>
      <c r="G141" s="177"/>
      <c r="H141" s="177"/>
      <c r="I141" s="177"/>
      <c r="J141" s="237"/>
      <c r="K141" s="237"/>
      <c r="L141" s="177"/>
      <c r="M141" s="177"/>
      <c r="N141" s="180"/>
      <c r="O141" s="180"/>
      <c r="P141" s="180"/>
      <c r="Q141" s="180"/>
      <c r="R141" s="180"/>
      <c r="S141" s="180"/>
      <c r="T141" s="180"/>
      <c r="U141" s="180"/>
      <c r="V141" s="180">
        <f>ROUND(V325*$D$325,-3)</f>
        <v>3500000000</v>
      </c>
      <c r="W141" s="180"/>
      <c r="X141" s="180">
        <f>ROUND(X325*$D$325,-3)</f>
        <v>2000000000</v>
      </c>
      <c r="Y141" s="145"/>
      <c r="AA141" s="12"/>
      <c r="AB141" s="12"/>
      <c r="AC141" s="12"/>
      <c r="AD141" s="12"/>
      <c r="AE141" s="42">
        <f t="shared" si="15"/>
        <v>5500000000</v>
      </c>
    </row>
    <row r="142" spans="2:31">
      <c r="B142" s="311" t="s">
        <v>442</v>
      </c>
      <c r="C142" s="334">
        <v>44798</v>
      </c>
      <c r="D142" s="325">
        <v>1299.3</v>
      </c>
      <c r="E142" s="145" t="s">
        <v>371</v>
      </c>
      <c r="F142" s="177"/>
      <c r="G142" s="177"/>
      <c r="H142" s="177"/>
      <c r="I142" s="177"/>
      <c r="J142" s="237"/>
      <c r="K142" s="237"/>
      <c r="L142" s="177"/>
      <c r="M142" s="177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>
        <f>ROUND(X326*D142,-4)</f>
        <v>1900000000</v>
      </c>
      <c r="Y142" s="145"/>
      <c r="AA142" s="12"/>
      <c r="AB142" s="12"/>
      <c r="AC142" s="12"/>
      <c r="AD142" s="12"/>
      <c r="AE142" s="42">
        <f t="shared" si="15"/>
        <v>1900000000</v>
      </c>
    </row>
    <row r="143" spans="2:31">
      <c r="B143" s="312"/>
      <c r="C143" s="335"/>
      <c r="D143" s="326"/>
      <c r="E143" s="145" t="s">
        <v>443</v>
      </c>
      <c r="F143" s="177">
        <f>F327*$D$142</f>
        <v>47640133.799999997</v>
      </c>
      <c r="G143" s="177"/>
      <c r="H143" s="177"/>
      <c r="I143" s="177"/>
      <c r="J143" s="237"/>
      <c r="K143" s="237"/>
      <c r="L143" s="177">
        <f>L327*$D$142</f>
        <v>0</v>
      </c>
      <c r="M143" s="177">
        <f>M327*$D$142</f>
        <v>34891402.199999996</v>
      </c>
      <c r="N143" s="180">
        <f>N327*$D$142</f>
        <v>159995802</v>
      </c>
      <c r="O143" s="180">
        <f>O327*$D$142</f>
        <v>579168172.19999993</v>
      </c>
      <c r="P143" s="180">
        <f>P327*$D$142</f>
        <v>1729368.3</v>
      </c>
      <c r="Q143" s="180"/>
      <c r="R143" s="180">
        <f>R327*$D$142</f>
        <v>49217484</v>
      </c>
      <c r="S143" s="180"/>
      <c r="T143" s="180"/>
      <c r="U143" s="180">
        <f>U327*$D$142</f>
        <v>431033679.89999998</v>
      </c>
      <c r="V143" s="180">
        <f>V327*$D$142</f>
        <v>416185279.5</v>
      </c>
      <c r="W143" s="180"/>
      <c r="X143" s="180">
        <f>X327*$D$142</f>
        <v>397550718.89999998</v>
      </c>
      <c r="Y143" s="145">
        <f>Y327*$D$142</f>
        <v>0</v>
      </c>
      <c r="AA143" s="12"/>
      <c r="AB143" s="12"/>
      <c r="AC143" s="12"/>
      <c r="AD143" s="12"/>
      <c r="AE143" s="42">
        <f t="shared" si="15"/>
        <v>2117412040.7999997</v>
      </c>
    </row>
    <row r="144" spans="2:31">
      <c r="B144" s="313"/>
      <c r="C144" s="336"/>
      <c r="D144" s="327"/>
      <c r="E144" s="145" t="s">
        <v>270</v>
      </c>
      <c r="F144" s="177"/>
      <c r="G144" s="177"/>
      <c r="H144" s="177"/>
      <c r="I144" s="177"/>
      <c r="J144" s="237"/>
      <c r="K144" s="237"/>
      <c r="L144" s="177"/>
      <c r="M144" s="177"/>
      <c r="N144" s="230">
        <f>N328*$D$142</f>
        <v>-1729368.3</v>
      </c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45"/>
      <c r="AA144" s="12"/>
      <c r="AB144" s="12"/>
      <c r="AC144" s="12"/>
      <c r="AD144" s="12"/>
      <c r="AE144" s="42">
        <f t="shared" si="15"/>
        <v>-1729368.3</v>
      </c>
    </row>
    <row r="145" spans="2:31">
      <c r="B145" s="34" t="s">
        <v>444</v>
      </c>
      <c r="C145" s="161">
        <v>44852</v>
      </c>
      <c r="D145" s="173">
        <v>1404.2</v>
      </c>
      <c r="E145" s="145" t="s">
        <v>403</v>
      </c>
      <c r="F145" s="177"/>
      <c r="G145" s="177"/>
      <c r="H145" s="177"/>
      <c r="I145" s="177"/>
      <c r="J145" s="237"/>
      <c r="K145" s="237"/>
      <c r="L145" s="177"/>
      <c r="M145" s="177"/>
      <c r="N145" s="237"/>
      <c r="O145" s="180"/>
      <c r="P145" s="180"/>
      <c r="Q145" s="180"/>
      <c r="R145" s="180"/>
      <c r="S145" s="180"/>
      <c r="T145" s="180"/>
      <c r="U145" s="180">
        <f>ROUND(U329*$D$145,-4)</f>
        <v>1000000000</v>
      </c>
      <c r="V145" s="180"/>
      <c r="W145" s="180"/>
      <c r="X145" s="180">
        <f>ROUND(X329*$D$145,-4)</f>
        <v>1300000000</v>
      </c>
      <c r="Y145" s="145"/>
      <c r="AA145" s="12"/>
      <c r="AB145" s="12"/>
      <c r="AC145" s="12"/>
      <c r="AD145" s="12"/>
      <c r="AE145" s="42">
        <f t="shared" si="15"/>
        <v>2300000000</v>
      </c>
    </row>
    <row r="146" spans="2:31">
      <c r="B146" s="311" t="s">
        <v>445</v>
      </c>
      <c r="C146" s="334">
        <v>44888</v>
      </c>
      <c r="D146" s="325">
        <v>1371.9</v>
      </c>
      <c r="E146" s="269" t="s">
        <v>446</v>
      </c>
      <c r="F146" s="177"/>
      <c r="G146" s="177"/>
      <c r="H146" s="177"/>
      <c r="I146" s="177"/>
      <c r="J146" s="237"/>
      <c r="K146" s="237"/>
      <c r="L146" s="177"/>
      <c r="M146" s="177"/>
      <c r="N146" s="237"/>
      <c r="O146" s="180"/>
      <c r="P146" s="180"/>
      <c r="Q146" s="180"/>
      <c r="R146" s="180"/>
      <c r="S146" s="180"/>
      <c r="T146" s="180"/>
      <c r="U146" s="180"/>
      <c r="V146" s="180">
        <v>9000000000</v>
      </c>
      <c r="W146" s="180"/>
      <c r="X146" s="180">
        <v>1000000000</v>
      </c>
      <c r="Y146" s="145"/>
      <c r="AA146" s="12"/>
      <c r="AB146" s="12"/>
      <c r="AC146" s="12"/>
      <c r="AD146" s="12"/>
      <c r="AE146" s="42">
        <f t="shared" si="15"/>
        <v>10000000000</v>
      </c>
    </row>
    <row r="147" spans="2:31">
      <c r="B147" s="312"/>
      <c r="C147" s="335"/>
      <c r="D147" s="326"/>
      <c r="E147" s="145" t="s">
        <v>447</v>
      </c>
      <c r="F147" s="177"/>
      <c r="G147" s="177"/>
      <c r="H147" s="177"/>
      <c r="I147" s="177"/>
      <c r="J147" s="237"/>
      <c r="K147" s="237"/>
      <c r="L147" s="177"/>
      <c r="M147" s="177"/>
      <c r="N147" s="237"/>
      <c r="O147" s="180">
        <f>$D$146*O331</f>
        <v>1420869970.5</v>
      </c>
      <c r="P147" s="180"/>
      <c r="Q147" s="180"/>
      <c r="R147" s="180">
        <f>$D$146*R331</f>
        <v>83065801.200000003</v>
      </c>
      <c r="S147" s="180"/>
      <c r="T147" s="180"/>
      <c r="U147" s="180">
        <f>$D$146*U331</f>
        <v>534275479.80000001</v>
      </c>
      <c r="V147" s="180">
        <f>$D$146*V331</f>
        <v>341380852.20000005</v>
      </c>
      <c r="W147" s="180"/>
      <c r="X147" s="180">
        <f>$D$146*X331</f>
        <v>257826654.60000002</v>
      </c>
      <c r="Y147" s="145"/>
      <c r="AA147" s="12"/>
      <c r="AB147" s="12"/>
      <c r="AC147" s="12"/>
      <c r="AD147" s="12"/>
      <c r="AE147" s="42">
        <f t="shared" si="15"/>
        <v>2637418758.2999997</v>
      </c>
    </row>
    <row r="148" spans="2:31">
      <c r="B148" s="313"/>
      <c r="C148" s="336"/>
      <c r="D148" s="327"/>
      <c r="E148" s="145" t="s">
        <v>270</v>
      </c>
      <c r="F148" s="177"/>
      <c r="G148" s="177"/>
      <c r="H148" s="177"/>
      <c r="I148" s="177"/>
      <c r="J148" s="237"/>
      <c r="K148" s="237"/>
      <c r="L148" s="177"/>
      <c r="M148" s="177"/>
      <c r="N148" s="237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45"/>
      <c r="AA148" s="12"/>
      <c r="AB148" s="12"/>
      <c r="AC148" s="12"/>
      <c r="AD148" s="12"/>
      <c r="AE148" s="42">
        <f t="shared" si="15"/>
        <v>0</v>
      </c>
    </row>
    <row r="149" spans="2:31">
      <c r="B149" s="34" t="s">
        <v>448</v>
      </c>
      <c r="C149" s="161">
        <v>44911</v>
      </c>
      <c r="D149" s="270">
        <v>1297.2</v>
      </c>
      <c r="E149" s="269" t="s">
        <v>449</v>
      </c>
      <c r="F149" s="177"/>
      <c r="G149" s="177"/>
      <c r="H149" s="177"/>
      <c r="I149" s="177"/>
      <c r="J149" s="237"/>
      <c r="K149" s="237"/>
      <c r="L149" s="177"/>
      <c r="M149" s="177"/>
      <c r="N149" s="237"/>
      <c r="O149" s="180"/>
      <c r="P149" s="180"/>
      <c r="Q149" s="180"/>
      <c r="R149" s="180"/>
      <c r="S149" s="180"/>
      <c r="T149" s="180"/>
      <c r="U149" s="180">
        <v>2500000000</v>
      </c>
      <c r="V149" s="180">
        <f>ROUND(V333*$D$149,0)</f>
        <v>4313300262</v>
      </c>
      <c r="W149" s="180"/>
      <c r="X149" s="180">
        <v>1500000000</v>
      </c>
      <c r="Y149" s="145"/>
      <c r="AA149" s="12"/>
      <c r="AB149" s="12"/>
      <c r="AC149" s="12"/>
      <c r="AD149" s="12"/>
      <c r="AE149" s="42">
        <f t="shared" si="15"/>
        <v>8313300262</v>
      </c>
    </row>
    <row r="150" spans="2:31">
      <c r="B150" s="34" t="s">
        <v>450</v>
      </c>
      <c r="C150" s="161">
        <v>44951</v>
      </c>
      <c r="D150" s="173">
        <v>1240.8</v>
      </c>
      <c r="E150" s="145" t="s">
        <v>451</v>
      </c>
      <c r="F150" s="177"/>
      <c r="G150" s="177"/>
      <c r="H150" s="177"/>
      <c r="I150" s="177"/>
      <c r="J150" s="237"/>
      <c r="K150" s="237"/>
      <c r="L150" s="177"/>
      <c r="M150" s="177"/>
      <c r="N150" s="237"/>
      <c r="O150" s="180">
        <v>4000000000</v>
      </c>
      <c r="P150" s="180"/>
      <c r="Q150" s="180"/>
      <c r="R150" s="180"/>
      <c r="S150" s="180"/>
      <c r="T150" s="180"/>
      <c r="U150" s="180"/>
      <c r="V150" s="180"/>
      <c r="W150" s="180"/>
      <c r="X150" s="180"/>
      <c r="Y150" s="145"/>
      <c r="AA150" s="12"/>
      <c r="AB150" s="12"/>
      <c r="AC150" s="12"/>
      <c r="AD150" s="12"/>
      <c r="AE150" s="42">
        <f t="shared" si="15"/>
        <v>4000000000</v>
      </c>
    </row>
    <row r="151" spans="2:31">
      <c r="B151" s="34" t="s">
        <v>453</v>
      </c>
      <c r="C151" s="161">
        <v>44974</v>
      </c>
      <c r="D151" s="173">
        <v>1297.5</v>
      </c>
      <c r="E151" s="145" t="s">
        <v>455</v>
      </c>
      <c r="F151" s="177"/>
      <c r="G151" s="177"/>
      <c r="H151" s="177"/>
      <c r="I151" s="177"/>
      <c r="J151" s="237"/>
      <c r="K151" s="237"/>
      <c r="L151" s="177"/>
      <c r="M151" s="177"/>
      <c r="N151" s="237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>
        <v>900000000</v>
      </c>
      <c r="Y151" s="145"/>
      <c r="AA151" s="12"/>
      <c r="AB151" s="12"/>
      <c r="AC151" s="12"/>
      <c r="AD151" s="12"/>
      <c r="AE151" s="42">
        <f t="shared" si="15"/>
        <v>900000000</v>
      </c>
    </row>
    <row r="152" spans="2:31" s="271" customFormat="1">
      <c r="B152" s="311" t="s">
        <v>457</v>
      </c>
      <c r="C152" s="328">
        <v>45007</v>
      </c>
      <c r="D152" s="331">
        <v>1318.5</v>
      </c>
      <c r="E152" s="184" t="s">
        <v>467</v>
      </c>
      <c r="F152" s="191"/>
      <c r="G152" s="191"/>
      <c r="H152" s="191"/>
      <c r="I152" s="191"/>
      <c r="J152" s="272"/>
      <c r="K152" s="272"/>
      <c r="L152" s="191"/>
      <c r="M152" s="191"/>
      <c r="N152" s="272"/>
      <c r="O152" s="180"/>
      <c r="P152" s="189"/>
      <c r="Q152" s="189"/>
      <c r="R152" s="189"/>
      <c r="S152" s="189"/>
      <c r="T152" s="189"/>
      <c r="U152" s="189">
        <f>2699000000+29000000+11000000+261000000</f>
        <v>3000000000</v>
      </c>
      <c r="V152" s="189"/>
      <c r="W152" s="189"/>
      <c r="X152" s="189"/>
      <c r="Y152" s="184"/>
      <c r="AA152" s="273"/>
      <c r="AB152" s="273"/>
      <c r="AC152" s="273"/>
      <c r="AD152" s="273"/>
      <c r="AE152" s="42">
        <f t="shared" si="15"/>
        <v>3000000000</v>
      </c>
    </row>
    <row r="153" spans="2:31" s="271" customFormat="1">
      <c r="B153" s="312"/>
      <c r="C153" s="329"/>
      <c r="D153" s="332"/>
      <c r="E153" s="184" t="s">
        <v>461</v>
      </c>
      <c r="F153" s="191"/>
      <c r="G153" s="191"/>
      <c r="H153" s="191"/>
      <c r="I153" s="191"/>
      <c r="J153" s="272"/>
      <c r="K153" s="272"/>
      <c r="L153" s="191"/>
      <c r="M153" s="191"/>
      <c r="N153" s="272"/>
      <c r="O153" s="189">
        <f>ROUND($D152*O337,0)-1</f>
        <v>40156235</v>
      </c>
      <c r="P153" s="189"/>
      <c r="Q153" s="189"/>
      <c r="R153" s="189"/>
      <c r="S153" s="189"/>
      <c r="T153" s="189"/>
      <c r="U153" s="189">
        <f>40073416</f>
        <v>40073416</v>
      </c>
      <c r="V153" s="189">
        <f>ROUND($D152*V337,0)</f>
        <v>41592083</v>
      </c>
      <c r="W153" s="189"/>
      <c r="X153" s="189">
        <f>ROUND($D152*X337,0)</f>
        <v>27890231</v>
      </c>
      <c r="Y153" s="184"/>
      <c r="AA153" s="273"/>
      <c r="AB153" s="273"/>
      <c r="AC153" s="273"/>
      <c r="AD153" s="273"/>
      <c r="AE153" s="42">
        <f t="shared" si="15"/>
        <v>149711965</v>
      </c>
    </row>
    <row r="154" spans="2:31" s="271" customFormat="1">
      <c r="B154" s="313"/>
      <c r="C154" s="330"/>
      <c r="D154" s="333"/>
      <c r="E154" s="184" t="s">
        <v>462</v>
      </c>
      <c r="F154" s="191"/>
      <c r="G154" s="191"/>
      <c r="H154" s="191"/>
      <c r="I154" s="191"/>
      <c r="J154" s="272"/>
      <c r="K154" s="272"/>
      <c r="L154" s="191"/>
      <c r="M154" s="191"/>
      <c r="N154" s="272"/>
      <c r="O154" s="189">
        <f>ROUND($D152*O338,0)</f>
        <v>1217378961</v>
      </c>
      <c r="P154" s="189"/>
      <c r="Q154" s="189"/>
      <c r="R154" s="189"/>
      <c r="S154" s="189"/>
      <c r="T154" s="189"/>
      <c r="U154" s="189">
        <f>547898432</f>
        <v>547898432</v>
      </c>
      <c r="V154" s="189">
        <f>ROUND($D152*V338,0)</f>
        <v>355151160</v>
      </c>
      <c r="W154" s="189"/>
      <c r="X154" s="189">
        <f>ROUND($D152*X338,0)</f>
        <v>292654260</v>
      </c>
      <c r="Y154" s="184"/>
      <c r="AA154" s="273"/>
      <c r="AB154" s="273"/>
      <c r="AC154" s="273"/>
      <c r="AD154" s="273"/>
      <c r="AE154" s="42">
        <f t="shared" si="15"/>
        <v>2413082813</v>
      </c>
    </row>
    <row r="155" spans="2:31">
      <c r="B155" s="34" t="s">
        <v>459</v>
      </c>
      <c r="C155" s="161">
        <v>45012</v>
      </c>
      <c r="D155" s="173">
        <v>1303.5999999999999</v>
      </c>
      <c r="E155" s="145" t="s">
        <v>451</v>
      </c>
      <c r="F155" s="177"/>
      <c r="G155" s="177"/>
      <c r="H155" s="177"/>
      <c r="I155" s="177"/>
      <c r="J155" s="237"/>
      <c r="K155" s="237"/>
      <c r="L155" s="177"/>
      <c r="M155" s="177"/>
      <c r="N155" s="237"/>
      <c r="O155" s="180">
        <f>ROUND(O339*$D155,0)-92</f>
        <v>12500000000</v>
      </c>
      <c r="P155" s="180"/>
      <c r="Q155" s="180"/>
      <c r="R155" s="180"/>
      <c r="S155" s="180"/>
      <c r="T155" s="180"/>
      <c r="U155" s="180"/>
      <c r="V155" s="180"/>
      <c r="W155" s="180"/>
      <c r="X155" s="180"/>
      <c r="Y155" s="145"/>
      <c r="AA155" s="12"/>
      <c r="AB155" s="12"/>
      <c r="AC155" s="12"/>
      <c r="AD155" s="12"/>
      <c r="AE155" s="42">
        <f t="shared" si="15"/>
        <v>12500000000</v>
      </c>
    </row>
    <row r="156" spans="2:31">
      <c r="B156" s="34" t="s">
        <v>469</v>
      </c>
      <c r="C156" s="161">
        <v>45037</v>
      </c>
      <c r="D156" s="173">
        <v>1310.3</v>
      </c>
      <c r="E156" s="145" t="s">
        <v>381</v>
      </c>
      <c r="F156" s="177"/>
      <c r="G156" s="177"/>
      <c r="H156" s="177"/>
      <c r="I156" s="177"/>
      <c r="J156" s="237"/>
      <c r="K156" s="237"/>
      <c r="L156" s="177"/>
      <c r="M156" s="177"/>
      <c r="N156" s="237"/>
      <c r="O156" s="180"/>
      <c r="P156" s="180"/>
      <c r="Q156" s="180"/>
      <c r="R156" s="180"/>
      <c r="S156" s="180"/>
      <c r="T156" s="180"/>
      <c r="U156" s="180">
        <v>600000000</v>
      </c>
      <c r="V156" s="180"/>
      <c r="W156" s="180"/>
      <c r="X156" s="180"/>
      <c r="Y156" s="145"/>
      <c r="AA156" s="12"/>
      <c r="AB156" s="12"/>
      <c r="AC156" s="12"/>
      <c r="AD156" s="12"/>
      <c r="AE156" s="42"/>
    </row>
    <row r="157" spans="2:31" ht="17.100000000000001" customHeight="1">
      <c r="B157" s="311" t="s">
        <v>477</v>
      </c>
      <c r="C157" s="334">
        <v>45090</v>
      </c>
      <c r="D157" s="325">
        <v>1306.5</v>
      </c>
      <c r="E157" s="145" t="s">
        <v>482</v>
      </c>
      <c r="F157" s="177"/>
      <c r="G157" s="177"/>
      <c r="H157" s="177"/>
      <c r="I157" s="177"/>
      <c r="J157" s="237"/>
      <c r="K157" s="237"/>
      <c r="L157" s="177"/>
      <c r="M157" s="177"/>
      <c r="N157" s="237"/>
      <c r="O157" s="180"/>
      <c r="P157" s="180"/>
      <c r="Q157" s="180"/>
      <c r="R157" s="180"/>
      <c r="S157" s="180"/>
      <c r="T157" s="180"/>
      <c r="U157" s="180">
        <v>1600000000</v>
      </c>
      <c r="V157" s="180"/>
      <c r="W157" s="180"/>
      <c r="X157" s="180"/>
      <c r="Y157" s="145"/>
      <c r="AA157" s="12"/>
      <c r="AB157" s="12"/>
      <c r="AC157" s="12"/>
      <c r="AD157" s="12"/>
      <c r="AE157" s="42"/>
    </row>
    <row r="158" spans="2:31">
      <c r="B158" s="312"/>
      <c r="C158" s="335"/>
      <c r="D158" s="326"/>
      <c r="E158" s="145" t="s">
        <v>479</v>
      </c>
      <c r="F158" s="177"/>
      <c r="G158" s="177"/>
      <c r="H158" s="177"/>
      <c r="I158" s="177"/>
      <c r="J158" s="237"/>
      <c r="K158" s="237"/>
      <c r="L158" s="177"/>
      <c r="M158" s="177"/>
      <c r="N158" s="237"/>
      <c r="O158" s="180">
        <f>ROUND(1500*1306.5,0)</f>
        <v>1959750</v>
      </c>
      <c r="P158" s="180"/>
      <c r="Q158" s="180"/>
      <c r="R158" s="180"/>
      <c r="S158" s="180"/>
      <c r="T158" s="180"/>
      <c r="U158" s="180">
        <f>ROUND(1478*1306.5,0)</f>
        <v>1931007</v>
      </c>
      <c r="V158" s="180">
        <f>ROUND(1478*1306.5,0)</f>
        <v>1931007</v>
      </c>
      <c r="W158" s="180"/>
      <c r="X158" s="180"/>
      <c r="Y158" s="145"/>
      <c r="AA158" s="12"/>
      <c r="AB158" s="12"/>
      <c r="AC158" s="12"/>
      <c r="AD158" s="12"/>
      <c r="AE158" s="42"/>
    </row>
    <row r="159" spans="2:31">
      <c r="B159" s="312"/>
      <c r="C159" s="335"/>
      <c r="D159" s="326"/>
      <c r="E159" s="145" t="s">
        <v>510</v>
      </c>
      <c r="F159" s="177"/>
      <c r="G159" s="177"/>
      <c r="H159" s="177"/>
      <c r="I159" s="177"/>
      <c r="J159" s="237"/>
      <c r="K159" s="237"/>
      <c r="L159" s="177"/>
      <c r="M159" s="177"/>
      <c r="N159" s="237"/>
      <c r="O159" s="180">
        <f>ROUND(922437*1306.5,0)</f>
        <v>1205163941</v>
      </c>
      <c r="P159" s="180"/>
      <c r="Q159" s="180"/>
      <c r="R159" s="180"/>
      <c r="S159" s="180"/>
      <c r="T159" s="180"/>
      <c r="U159" s="180">
        <f>277909535+50261055+22865057</f>
        <v>351035647</v>
      </c>
      <c r="V159" s="180">
        <f>ROUND(256114*1306.5,0)</f>
        <v>334612941</v>
      </c>
      <c r="W159" s="180"/>
      <c r="X159" s="180">
        <f>ROUND(154084*1306.5,0)</f>
        <v>201310746</v>
      </c>
      <c r="Y159" s="145"/>
      <c r="AA159" s="12"/>
      <c r="AB159" s="12"/>
      <c r="AC159" s="12"/>
      <c r="AD159" s="12"/>
      <c r="AE159" s="42"/>
    </row>
    <row r="160" spans="2:31">
      <c r="B160" s="313"/>
      <c r="C160" s="336"/>
      <c r="D160" s="327"/>
      <c r="E160" s="145" t="s">
        <v>509</v>
      </c>
      <c r="F160" s="177"/>
      <c r="G160" s="177"/>
      <c r="H160" s="177"/>
      <c r="I160" s="177"/>
      <c r="J160" s="237"/>
      <c r="K160" s="237"/>
      <c r="L160" s="177"/>
      <c r="M160" s="177"/>
      <c r="N160" s="237"/>
      <c r="O160" s="180"/>
      <c r="P160" s="180"/>
      <c r="Q160" s="180"/>
      <c r="R160" s="180"/>
      <c r="S160" s="180"/>
      <c r="T160" s="180"/>
      <c r="U160" s="180">
        <f>50000000+150000000</f>
        <v>200000000</v>
      </c>
      <c r="V160" s="180"/>
      <c r="W160" s="180"/>
      <c r="X160" s="180"/>
      <c r="Y160" s="145"/>
      <c r="AA160" s="12"/>
      <c r="AB160" s="12"/>
      <c r="AC160" s="12"/>
      <c r="AD160" s="12"/>
      <c r="AE160" s="42"/>
    </row>
    <row r="161" spans="2:31">
      <c r="B161" s="311" t="s">
        <v>485</v>
      </c>
      <c r="C161" s="334">
        <v>45159</v>
      </c>
      <c r="D161" s="325">
        <v>1266</v>
      </c>
      <c r="E161" s="145" t="s">
        <v>487</v>
      </c>
      <c r="F161" s="177"/>
      <c r="G161" s="177"/>
      <c r="H161" s="177"/>
      <c r="I161" s="177"/>
      <c r="J161" s="237"/>
      <c r="K161" s="237"/>
      <c r="L161" s="177"/>
      <c r="M161" s="177"/>
      <c r="N161" s="237"/>
      <c r="O161" s="180"/>
      <c r="P161" s="180"/>
      <c r="Q161" s="180"/>
      <c r="R161" s="180"/>
      <c r="S161" s="180"/>
      <c r="T161" s="180"/>
      <c r="U161" s="180">
        <v>2500000000</v>
      </c>
      <c r="V161" s="180"/>
      <c r="W161" s="180"/>
      <c r="X161" s="180"/>
      <c r="Y161" s="145"/>
      <c r="AA161" s="12"/>
      <c r="AB161" s="12"/>
      <c r="AC161" s="12"/>
      <c r="AD161" s="12"/>
      <c r="AE161" s="42"/>
    </row>
    <row r="162" spans="2:31">
      <c r="B162" s="312"/>
      <c r="C162" s="335"/>
      <c r="D162" s="326"/>
      <c r="E162" s="145" t="s">
        <v>489</v>
      </c>
      <c r="F162" s="177"/>
      <c r="G162" s="177"/>
      <c r="H162" s="177"/>
      <c r="I162" s="177"/>
      <c r="J162" s="237"/>
      <c r="K162" s="237"/>
      <c r="L162" s="177"/>
      <c r="M162" s="177"/>
      <c r="N162" s="237"/>
      <c r="O162" s="180"/>
      <c r="P162" s="180"/>
      <c r="Q162" s="180"/>
      <c r="R162" s="180"/>
      <c r="S162" s="180"/>
      <c r="T162" s="180"/>
      <c r="U162" s="180">
        <f>+ROUND(457583*1266,0)</f>
        <v>579300078</v>
      </c>
      <c r="V162" s="180"/>
      <c r="W162" s="180"/>
      <c r="X162" s="180"/>
      <c r="Y162" s="145"/>
      <c r="AA162" s="12"/>
      <c r="AB162" s="12"/>
      <c r="AC162" s="12"/>
      <c r="AD162" s="12"/>
      <c r="AE162" s="42"/>
    </row>
    <row r="163" spans="2:31">
      <c r="B163" s="312"/>
      <c r="C163" s="335"/>
      <c r="D163" s="326"/>
      <c r="E163" s="145" t="s">
        <v>491</v>
      </c>
      <c r="F163" s="177"/>
      <c r="G163" s="177"/>
      <c r="H163" s="177"/>
      <c r="I163" s="177"/>
      <c r="J163" s="237"/>
      <c r="K163" s="237"/>
      <c r="L163" s="177"/>
      <c r="M163" s="177"/>
      <c r="N163" s="237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>
        <f>+ROUND(162318*1266,0)</f>
        <v>205494588</v>
      </c>
      <c r="Y163" s="145"/>
      <c r="AA163" s="12"/>
      <c r="AB163" s="12"/>
      <c r="AC163" s="12"/>
      <c r="AD163" s="12"/>
      <c r="AE163" s="42"/>
    </row>
    <row r="164" spans="2:31">
      <c r="B164" s="312"/>
      <c r="C164" s="335"/>
      <c r="D164" s="326"/>
      <c r="E164" s="145" t="s">
        <v>493</v>
      </c>
      <c r="F164" s="177"/>
      <c r="G164" s="177"/>
      <c r="H164" s="177"/>
      <c r="I164" s="177"/>
      <c r="J164" s="237"/>
      <c r="K164" s="237"/>
      <c r="L164" s="177"/>
      <c r="M164" s="177"/>
      <c r="N164" s="237"/>
      <c r="O164" s="180">
        <f>+ROUND(349313*1266,0)</f>
        <v>442230258</v>
      </c>
      <c r="P164" s="180"/>
      <c r="Q164" s="180"/>
      <c r="R164" s="180"/>
      <c r="S164" s="180"/>
      <c r="T164" s="180"/>
      <c r="U164" s="180"/>
      <c r="V164" s="180"/>
      <c r="W164" s="180"/>
      <c r="X164" s="180"/>
      <c r="Y164" s="145"/>
      <c r="AA164" s="12"/>
      <c r="AB164" s="12"/>
      <c r="AC164" s="12"/>
      <c r="AD164" s="12"/>
      <c r="AE164" s="42"/>
    </row>
    <row r="165" spans="2:31">
      <c r="B165" s="313"/>
      <c r="C165" s="336"/>
      <c r="D165" s="327"/>
      <c r="E165" s="145" t="s">
        <v>495</v>
      </c>
      <c r="F165" s="177"/>
      <c r="G165" s="177"/>
      <c r="H165" s="177"/>
      <c r="I165" s="177"/>
      <c r="J165" s="237"/>
      <c r="K165" s="237"/>
      <c r="L165" s="177"/>
      <c r="M165" s="177"/>
      <c r="N165" s="237"/>
      <c r="O165" s="180"/>
      <c r="P165" s="180"/>
      <c r="Q165" s="180"/>
      <c r="R165" s="180"/>
      <c r="S165" s="180"/>
      <c r="T165" s="180"/>
      <c r="U165" s="180"/>
      <c r="V165" s="180">
        <f>+ROUND(283721*1266,0)</f>
        <v>359190786</v>
      </c>
      <c r="W165" s="180"/>
      <c r="X165" s="180"/>
      <c r="Y165" s="145"/>
      <c r="AA165" s="12"/>
      <c r="AB165" s="12"/>
      <c r="AC165" s="12"/>
      <c r="AD165" s="12"/>
      <c r="AE165" s="42"/>
    </row>
    <row r="166" spans="2:31">
      <c r="B166" s="34" t="s">
        <v>515</v>
      </c>
      <c r="C166" s="161">
        <v>45173</v>
      </c>
      <c r="D166" s="173">
        <v>1320.5</v>
      </c>
      <c r="E166" s="145" t="s">
        <v>513</v>
      </c>
      <c r="F166" s="177"/>
      <c r="G166" s="177"/>
      <c r="H166" s="177"/>
      <c r="I166" s="177"/>
      <c r="J166" s="237"/>
      <c r="K166" s="237"/>
      <c r="L166" s="177"/>
      <c r="M166" s="177"/>
      <c r="N166" s="237"/>
      <c r="O166" s="180"/>
      <c r="P166" s="180"/>
      <c r="Q166" s="180"/>
      <c r="R166" s="180"/>
      <c r="S166" s="180"/>
      <c r="T166" s="180"/>
      <c r="U166" s="180">
        <v>2300000000</v>
      </c>
      <c r="V166" s="180"/>
      <c r="W166" s="180"/>
      <c r="X166" s="180"/>
      <c r="Y166" s="145"/>
      <c r="AA166" s="12"/>
      <c r="AB166" s="12"/>
      <c r="AC166" s="12"/>
      <c r="AD166" s="12"/>
      <c r="AE166" s="42"/>
    </row>
    <row r="167" spans="2:31">
      <c r="B167" s="311" t="s">
        <v>523</v>
      </c>
      <c r="C167" s="161">
        <v>45208</v>
      </c>
      <c r="D167" s="173">
        <v>1362</v>
      </c>
      <c r="E167" s="145" t="s">
        <v>513</v>
      </c>
      <c r="F167" s="177"/>
      <c r="G167" s="177"/>
      <c r="H167" s="177"/>
      <c r="I167" s="177"/>
      <c r="J167" s="237"/>
      <c r="K167" s="237"/>
      <c r="L167" s="177"/>
      <c r="M167" s="177"/>
      <c r="N167" s="237"/>
      <c r="O167" s="180"/>
      <c r="P167" s="180"/>
      <c r="Q167" s="180"/>
      <c r="R167" s="180"/>
      <c r="S167" s="180"/>
      <c r="T167" s="180"/>
      <c r="U167" s="180">
        <v>3500000000</v>
      </c>
      <c r="V167" s="180"/>
      <c r="W167" s="180"/>
      <c r="X167" s="180"/>
      <c r="Y167" s="145"/>
      <c r="AA167" s="12"/>
      <c r="AB167" s="12"/>
      <c r="AC167" s="12"/>
      <c r="AD167" s="12"/>
      <c r="AE167" s="42"/>
    </row>
    <row r="168" spans="2:31">
      <c r="B168" s="313"/>
      <c r="C168" s="161">
        <v>45208</v>
      </c>
      <c r="D168" s="173">
        <v>1362</v>
      </c>
      <c r="E168" s="145" t="s">
        <v>521</v>
      </c>
      <c r="F168" s="177"/>
      <c r="G168" s="177"/>
      <c r="H168" s="177"/>
      <c r="I168" s="177"/>
      <c r="J168" s="237"/>
      <c r="K168" s="237"/>
      <c r="L168" s="177"/>
      <c r="M168" s="177"/>
      <c r="N168" s="237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>
        <v>300000000</v>
      </c>
      <c r="Y168" s="145"/>
      <c r="AA168" s="12"/>
      <c r="AB168" s="12"/>
      <c r="AC168" s="12"/>
      <c r="AD168" s="12"/>
      <c r="AE168" s="42"/>
    </row>
    <row r="169" spans="2:31">
      <c r="B169" s="34" t="s">
        <v>539</v>
      </c>
      <c r="C169" s="161">
        <v>45233</v>
      </c>
      <c r="D169" s="173">
        <v>1358</v>
      </c>
      <c r="E169" s="145" t="s">
        <v>541</v>
      </c>
      <c r="F169" s="177"/>
      <c r="G169" s="177"/>
      <c r="H169" s="177"/>
      <c r="I169" s="177"/>
      <c r="J169" s="237"/>
      <c r="K169" s="237"/>
      <c r="L169" s="177"/>
      <c r="M169" s="177"/>
      <c r="N169" s="237"/>
      <c r="O169" s="180">
        <v>16433120000</v>
      </c>
      <c r="P169" s="180"/>
      <c r="Q169" s="180"/>
      <c r="R169" s="180"/>
      <c r="S169" s="180"/>
      <c r="T169" s="180"/>
      <c r="U169" s="180"/>
      <c r="V169" s="180"/>
      <c r="W169" s="180"/>
      <c r="X169" s="180"/>
      <c r="Y169" s="145"/>
      <c r="AA169" s="12"/>
      <c r="AB169" s="12"/>
      <c r="AC169" s="12"/>
      <c r="AD169" s="12"/>
      <c r="AE169" s="42"/>
    </row>
    <row r="170" spans="2:31">
      <c r="B170" s="34"/>
      <c r="C170" s="161"/>
      <c r="D170" s="173"/>
      <c r="E170" s="145"/>
      <c r="F170" s="177"/>
      <c r="G170" s="177"/>
      <c r="H170" s="177"/>
      <c r="I170" s="177"/>
      <c r="J170" s="237"/>
      <c r="K170" s="237"/>
      <c r="L170" s="177"/>
      <c r="M170" s="177"/>
      <c r="N170" s="237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45"/>
      <c r="AA170" s="12"/>
      <c r="AB170" s="12"/>
      <c r="AC170" s="12"/>
      <c r="AD170" s="12"/>
      <c r="AE170" s="42"/>
    </row>
    <row r="171" spans="2:31">
      <c r="B171" s="34"/>
      <c r="C171" s="161"/>
      <c r="D171" s="173"/>
      <c r="E171" s="145"/>
      <c r="F171" s="177"/>
      <c r="G171" s="177"/>
      <c r="H171" s="177"/>
      <c r="I171" s="177"/>
      <c r="J171" s="237"/>
      <c r="K171" s="237"/>
      <c r="L171" s="177"/>
      <c r="M171" s="177"/>
      <c r="N171" s="237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45"/>
      <c r="AA171" s="12"/>
      <c r="AB171" s="12"/>
      <c r="AC171" s="12"/>
      <c r="AD171" s="12"/>
      <c r="AE171" s="42"/>
    </row>
    <row r="172" spans="2:31">
      <c r="B172" s="34"/>
      <c r="C172" s="161"/>
      <c r="D172" s="173"/>
      <c r="E172" s="145"/>
      <c r="F172" s="177"/>
      <c r="G172" s="177"/>
      <c r="H172" s="177"/>
      <c r="I172" s="177"/>
      <c r="J172" s="237"/>
      <c r="K172" s="237"/>
      <c r="L172" s="177"/>
      <c r="M172" s="177"/>
      <c r="N172" s="237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45"/>
      <c r="AA172" s="12"/>
      <c r="AB172" s="12"/>
      <c r="AC172" s="12"/>
      <c r="AD172" s="12"/>
      <c r="AE172" s="42"/>
    </row>
    <row r="173" spans="2:31" ht="12.75" customHeight="1">
      <c r="B173" s="22" t="s">
        <v>27</v>
      </c>
      <c r="C173" s="22"/>
      <c r="D173" s="22"/>
      <c r="E173" s="22"/>
      <c r="F173" s="268">
        <f>SUM(F3:F171)</f>
        <v>156764236448.84805</v>
      </c>
      <c r="G173" s="268">
        <f>SUM(G3:G171)</f>
        <v>24006907180.148911</v>
      </c>
      <c r="H173" s="268">
        <f t="shared" ref="H173:Y173" si="20">SUM(H3:H171)</f>
        <v>97243958001.302795</v>
      </c>
      <c r="I173" s="268">
        <f t="shared" si="20"/>
        <v>40708340476.540009</v>
      </c>
      <c r="J173" s="268">
        <f t="shared" si="20"/>
        <v>42770103735.499985</v>
      </c>
      <c r="K173" s="268">
        <f t="shared" si="20"/>
        <v>31733403723.920006</v>
      </c>
      <c r="L173" s="268">
        <f t="shared" si="20"/>
        <v>39188908113.163628</v>
      </c>
      <c r="M173" s="268">
        <f t="shared" si="20"/>
        <v>26747391441</v>
      </c>
      <c r="N173" s="268">
        <f t="shared" si="20"/>
        <v>100273160505.52548</v>
      </c>
      <c r="O173" s="268">
        <f t="shared" si="20"/>
        <v>167895402440.72687</v>
      </c>
      <c r="P173" s="268">
        <f t="shared" si="20"/>
        <v>581232884.8172009</v>
      </c>
      <c r="Q173" s="268">
        <f t="shared" si="20"/>
        <v>66641327248.614861</v>
      </c>
      <c r="R173" s="268">
        <f t="shared" si="20"/>
        <v>26069952312.82</v>
      </c>
      <c r="S173" s="268">
        <f t="shared" si="20"/>
        <v>77993669095.37999</v>
      </c>
      <c r="T173" s="268">
        <f t="shared" si="20"/>
        <v>59390848299.320007</v>
      </c>
      <c r="U173" s="268">
        <f t="shared" si="20"/>
        <v>108539896596.42001</v>
      </c>
      <c r="V173" s="268">
        <f t="shared" si="20"/>
        <v>78999805090.360001</v>
      </c>
      <c r="W173" s="268">
        <f t="shared" si="20"/>
        <v>3950911914.3600001</v>
      </c>
      <c r="X173" s="268">
        <f t="shared" si="20"/>
        <v>38623821835.620003</v>
      </c>
      <c r="Y173" s="268">
        <f t="shared" si="20"/>
        <v>2553798560</v>
      </c>
      <c r="AA173" s="23">
        <f>SUM(AA3:AA104)</f>
        <v>4430000000</v>
      </c>
      <c r="AB173" s="23">
        <f>SUM(AB3:AB104)</f>
        <v>2780000000</v>
      </c>
      <c r="AC173" s="23">
        <f>SUM(AC3:AC104)</f>
        <v>2650000000</v>
      </c>
      <c r="AD173" s="23">
        <f>SUM(AD3:AD104)</f>
        <v>4100000000</v>
      </c>
      <c r="AE173" s="7"/>
    </row>
    <row r="174" spans="2:31">
      <c r="F174" s="7">
        <f>SUM(F173:Y173)-SUM(P173,U173:Y173)</f>
        <v>957427609022.81104</v>
      </c>
      <c r="G174" s="7"/>
      <c r="H174" s="7"/>
      <c r="I174" s="7"/>
      <c r="J174" s="7"/>
      <c r="K174" s="7"/>
      <c r="L174" s="7"/>
      <c r="M174" s="7"/>
      <c r="N174" s="7"/>
      <c r="O174" s="7">
        <f>SUM(O152:O154)</f>
        <v>1257535196</v>
      </c>
      <c r="P174" s="7"/>
      <c r="Q174" s="7"/>
      <c r="R174" s="7"/>
      <c r="S174" s="7"/>
      <c r="T174" s="7"/>
      <c r="U174" s="7">
        <f>SUM(U152:U154)</f>
        <v>3587971848</v>
      </c>
      <c r="V174" s="7">
        <f>SUM(V152:V154)</f>
        <v>396743243</v>
      </c>
      <c r="W174" s="7"/>
      <c r="X174" s="7">
        <f>SUM(X152:X154)</f>
        <v>320544491</v>
      </c>
      <c r="Y174" s="7"/>
      <c r="AA174" s="7"/>
      <c r="AB174" s="7"/>
      <c r="AC174" s="7"/>
      <c r="AD174" s="7"/>
      <c r="AE174" s="7"/>
    </row>
    <row r="175" spans="2:31"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7"/>
      <c r="V175" s="7">
        <f>+V173-V101-V102-V103</f>
        <v>77791616130.860001</v>
      </c>
      <c r="X175" s="7">
        <f>X173-300000000</f>
        <v>38323821835.620003</v>
      </c>
    </row>
    <row r="176" spans="2:31">
      <c r="D176" s="8" t="s">
        <v>37</v>
      </c>
      <c r="E176" s="8"/>
      <c r="F176" s="11">
        <f t="shared" ref="F176:L176" si="21">SUM(F3:F4)</f>
        <v>59491803843</v>
      </c>
      <c r="G176" s="11">
        <f t="shared" si="21"/>
        <v>0</v>
      </c>
      <c r="H176" s="11">
        <f t="shared" si="21"/>
        <v>0</v>
      </c>
      <c r="I176" s="11">
        <f t="shared" si="21"/>
        <v>0</v>
      </c>
      <c r="J176" s="11">
        <f t="shared" si="21"/>
        <v>0</v>
      </c>
      <c r="K176" s="11">
        <f t="shared" si="21"/>
        <v>0</v>
      </c>
      <c r="L176" s="11">
        <f t="shared" si="21"/>
        <v>0</v>
      </c>
      <c r="M176" s="11"/>
      <c r="N176" s="11"/>
      <c r="O176" s="11"/>
      <c r="P176" s="11">
        <f>SUM(P3:P4)</f>
        <v>0</v>
      </c>
      <c r="Q176" s="11">
        <f>SUM(Q3:Q4)</f>
        <v>0</v>
      </c>
      <c r="R176" s="11"/>
      <c r="S176" s="11"/>
      <c r="T176" s="11"/>
      <c r="U176" s="11"/>
      <c r="V176" s="11"/>
      <c r="W176" s="11"/>
      <c r="X176" s="11"/>
      <c r="Y176" s="11">
        <f>SUM(Y3:Y4)</f>
        <v>0</v>
      </c>
      <c r="AA176" s="11">
        <f>SUM(AA3:AA4)</f>
        <v>0</v>
      </c>
      <c r="AB176" s="11">
        <f>SUM(AB3:AB4)</f>
        <v>0</v>
      </c>
      <c r="AC176" s="11">
        <f>SUM(AC3:AC4)</f>
        <v>0</v>
      </c>
      <c r="AD176" s="11">
        <f>SUM(AD3:AD4)</f>
        <v>0</v>
      </c>
      <c r="AE176" s="7"/>
    </row>
    <row r="177" spans="2:40">
      <c r="D177" s="8" t="s">
        <v>38</v>
      </c>
      <c r="E177" s="8"/>
      <c r="F177" s="11">
        <f t="shared" ref="F177:L177" si="22">SUM(F5:F16)</f>
        <v>88158012432.388031</v>
      </c>
      <c r="G177" s="11">
        <f t="shared" si="22"/>
        <v>29756604832.608906</v>
      </c>
      <c r="H177" s="11">
        <f t="shared" si="22"/>
        <v>74021330441</v>
      </c>
      <c r="I177" s="11">
        <f t="shared" si="22"/>
        <v>15354205359</v>
      </c>
      <c r="J177" s="11">
        <f t="shared" si="22"/>
        <v>0</v>
      </c>
      <c r="K177" s="11">
        <f t="shared" si="22"/>
        <v>0</v>
      </c>
      <c r="L177" s="11">
        <f t="shared" si="22"/>
        <v>0</v>
      </c>
      <c r="M177" s="11"/>
      <c r="N177" s="11"/>
      <c r="O177" s="11"/>
      <c r="P177" s="11">
        <f>SUM(P5:P16)</f>
        <v>11533000000</v>
      </c>
      <c r="Q177" s="11">
        <f>SUM(Q5:Q16)</f>
        <v>0</v>
      </c>
      <c r="R177" s="11"/>
      <c r="S177" s="11"/>
      <c r="T177" s="11"/>
      <c r="U177" s="11"/>
      <c r="V177" s="11"/>
      <c r="W177" s="11"/>
      <c r="X177" s="11"/>
      <c r="Y177" s="11">
        <f>SUM(Y5:Y16)</f>
        <v>0</v>
      </c>
      <c r="AA177" s="11">
        <f>SUM(AA5:AA16)</f>
        <v>0</v>
      </c>
      <c r="AB177" s="11">
        <f>SUM(AB5:AB16)</f>
        <v>0</v>
      </c>
      <c r="AC177" s="11">
        <f>SUM(AC5:AC16)</f>
        <v>0</v>
      </c>
      <c r="AD177" s="11">
        <f>SUM(AD5:AD16)</f>
        <v>0</v>
      </c>
      <c r="AE177" s="7"/>
    </row>
    <row r="178" spans="2:40">
      <c r="D178" s="8" t="s">
        <v>39</v>
      </c>
      <c r="E178" s="8"/>
      <c r="F178" s="11">
        <f t="shared" ref="F178:Q178" si="23">SUM(F17:F42)</f>
        <v>3698473108</v>
      </c>
      <c r="G178" s="11">
        <f t="shared" si="23"/>
        <v>1126251815</v>
      </c>
      <c r="H178" s="11">
        <f t="shared" si="23"/>
        <v>18945502109.962799</v>
      </c>
      <c r="I178" s="11">
        <f t="shared" si="23"/>
        <v>2052257890</v>
      </c>
      <c r="J178" s="11">
        <f t="shared" si="23"/>
        <v>27359436101</v>
      </c>
      <c r="K178" s="11">
        <f t="shared" si="23"/>
        <v>22987392480</v>
      </c>
      <c r="L178" s="11">
        <f t="shared" si="23"/>
        <v>21548294116</v>
      </c>
      <c r="M178" s="11">
        <f t="shared" si="23"/>
        <v>7905000000</v>
      </c>
      <c r="N178" s="11">
        <f t="shared" si="23"/>
        <v>78215750000</v>
      </c>
      <c r="O178" s="11">
        <f t="shared" si="23"/>
        <v>40542939771</v>
      </c>
      <c r="P178" s="11">
        <f t="shared" si="23"/>
        <v>-11075512620.962799</v>
      </c>
      <c r="Q178" s="11">
        <f t="shared" si="23"/>
        <v>0</v>
      </c>
      <c r="R178" s="11"/>
      <c r="S178" s="11"/>
      <c r="T178" s="11"/>
      <c r="V178" s="11"/>
      <c r="W178" s="11">
        <f>SUM(S43:S78)</f>
        <v>7454478187.1999998</v>
      </c>
      <c r="X178" s="11"/>
      <c r="Y178" s="11">
        <f t="shared" ref="Y178:AD178" si="24">SUM(Y17:Y42)</f>
        <v>180000000</v>
      </c>
      <c r="Z178" s="11">
        <f t="shared" si="24"/>
        <v>0</v>
      </c>
      <c r="AA178" s="11">
        <f t="shared" si="24"/>
        <v>4430000000</v>
      </c>
      <c r="AB178" s="11">
        <f t="shared" si="24"/>
        <v>2780000000</v>
      </c>
      <c r="AC178" s="11">
        <f t="shared" si="24"/>
        <v>2650000000</v>
      </c>
      <c r="AD178" s="11">
        <f t="shared" si="24"/>
        <v>4100000000</v>
      </c>
      <c r="AE178" s="7"/>
    </row>
    <row r="179" spans="2:40">
      <c r="D179" s="8" t="s">
        <v>80</v>
      </c>
      <c r="E179" s="8"/>
      <c r="F179" s="11">
        <f t="shared" ref="F179:R179" si="25">SUM(F43:F78)</f>
        <v>2399069515.5999999</v>
      </c>
      <c r="G179" s="11">
        <f t="shared" si="25"/>
        <v>-7226638074.6000004</v>
      </c>
      <c r="H179" s="11">
        <f t="shared" si="25"/>
        <v>2788688038.5999999</v>
      </c>
      <c r="I179" s="11">
        <f t="shared" si="25"/>
        <v>13250970383.799999</v>
      </c>
      <c r="J179" s="11">
        <f t="shared" si="25"/>
        <v>5067398907.6000004</v>
      </c>
      <c r="K179" s="11">
        <f t="shared" si="25"/>
        <v>8178254746.1999998</v>
      </c>
      <c r="L179" s="11">
        <f t="shared" si="25"/>
        <v>13962688786.963636</v>
      </c>
      <c r="M179" s="11">
        <f t="shared" si="25"/>
        <v>18128036381.400002</v>
      </c>
      <c r="N179" s="11">
        <f t="shared" si="25"/>
        <v>18733329566.305481</v>
      </c>
      <c r="O179" s="11">
        <f t="shared" si="25"/>
        <v>54166671399.106842</v>
      </c>
      <c r="P179" s="11">
        <f t="shared" si="25"/>
        <v>5689189</v>
      </c>
      <c r="Q179" s="11">
        <f t="shared" si="25"/>
        <v>50478454126.094864</v>
      </c>
      <c r="R179" s="11">
        <f t="shared" si="25"/>
        <v>2471231729.5999999</v>
      </c>
      <c r="T179" s="11">
        <f>SUM(T43:T78)</f>
        <v>2370146124.8000002</v>
      </c>
      <c r="U179" s="11"/>
      <c r="V179" s="11"/>
      <c r="W179" s="11"/>
      <c r="X179" s="11"/>
      <c r="Y179" s="11">
        <f>SUM(Y43:Y78)</f>
        <v>1173798560</v>
      </c>
      <c r="Z179" s="7"/>
      <c r="AA179" s="11">
        <f>SUM(AA43:AA78)</f>
        <v>0</v>
      </c>
      <c r="AB179" s="11">
        <f>SUM(AB43:AB78)</f>
        <v>0</v>
      </c>
      <c r="AC179" s="11">
        <f>SUM(AC43:AC78)</f>
        <v>0</v>
      </c>
      <c r="AD179" s="11">
        <f>SUM(AD43:AD78)</f>
        <v>0</v>
      </c>
      <c r="AE179" s="7"/>
      <c r="AK179" s="25"/>
    </row>
    <row r="180" spans="2:40">
      <c r="F180" s="7">
        <v>15094592</v>
      </c>
      <c r="G180" s="6">
        <f>F180/$F$184</f>
        <v>0.4592199513080929</v>
      </c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>
        <v>1900000000</v>
      </c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K180" s="25"/>
    </row>
    <row r="181" spans="2:40">
      <c r="F181" s="7">
        <v>11740238</v>
      </c>
      <c r="G181" s="6">
        <f t="shared" ref="G181:G182" si="26">F181/$F$184</f>
        <v>0.35717106647900271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>
        <v>1931007</v>
      </c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K181" s="25"/>
    </row>
    <row r="182" spans="2:40">
      <c r="F182" s="7">
        <f>F184-SUM(F180:F181)</f>
        <v>6035240.120000001</v>
      </c>
      <c r="G182" s="6">
        <f t="shared" si="26"/>
        <v>0.18360898221290442</v>
      </c>
      <c r="H182" s="27">
        <f>H58+H59</f>
        <v>0</v>
      </c>
      <c r="I182" s="27"/>
      <c r="J182" s="27"/>
      <c r="K182" s="27"/>
      <c r="L182" s="27"/>
      <c r="M182" s="27"/>
      <c r="N182" s="27"/>
      <c r="O182" s="27"/>
      <c r="P182" s="27">
        <v>-1193243.2334394578</v>
      </c>
      <c r="Q182" s="27"/>
      <c r="R182" s="27"/>
      <c r="S182" s="27"/>
      <c r="T182" s="27"/>
      <c r="U182" s="27">
        <v>551035973</v>
      </c>
      <c r="V182" s="27"/>
      <c r="W182" s="27"/>
      <c r="X182" s="27"/>
      <c r="Y182" s="27"/>
    </row>
    <row r="183" spans="2:40">
      <c r="B183" s="14" t="s">
        <v>55</v>
      </c>
      <c r="C183" s="15" t="s">
        <v>42</v>
      </c>
      <c r="D183" s="15" t="s">
        <v>28</v>
      </c>
      <c r="E183" s="16" t="s">
        <v>26</v>
      </c>
      <c r="F183" s="17" t="s">
        <v>17</v>
      </c>
      <c r="G183" s="17" t="s">
        <v>18</v>
      </c>
      <c r="H183" s="17" t="s">
        <v>19</v>
      </c>
      <c r="I183" s="17" t="s">
        <v>20</v>
      </c>
      <c r="J183" s="17" t="s">
        <v>15</v>
      </c>
      <c r="K183" s="17" t="s">
        <v>21</v>
      </c>
      <c r="L183" s="17" t="s">
        <v>16</v>
      </c>
      <c r="M183" s="17" t="s">
        <v>40</v>
      </c>
      <c r="N183" s="17" t="s">
        <v>41</v>
      </c>
      <c r="O183" s="17" t="s">
        <v>53</v>
      </c>
      <c r="P183" s="17" t="s">
        <v>24</v>
      </c>
      <c r="Q183" s="17" t="s">
        <v>117</v>
      </c>
      <c r="R183" s="17" t="s">
        <v>209</v>
      </c>
      <c r="S183" s="17" t="s">
        <v>208</v>
      </c>
      <c r="T183" s="17" t="s">
        <v>295</v>
      </c>
      <c r="U183" s="17" t="s">
        <v>294</v>
      </c>
      <c r="V183" s="17" t="s">
        <v>304</v>
      </c>
      <c r="W183" s="17" t="str">
        <f>W2</f>
        <v>Namyangju (Star 5)</v>
      </c>
      <c r="X183" s="17" t="str">
        <f>X2</f>
        <v>Iljuk 2 (Star 6)</v>
      </c>
      <c r="Y183" s="17" t="s">
        <v>25</v>
      </c>
      <c r="AA183" s="17" t="s">
        <v>60</v>
      </c>
      <c r="AB183" s="17" t="s">
        <v>61</v>
      </c>
      <c r="AC183" s="17" t="str">
        <f>AC2</f>
        <v>Mokcheon</v>
      </c>
      <c r="AD183" s="17" t="str">
        <f>AD2</f>
        <v>Jungan</v>
      </c>
      <c r="AE183" s="166"/>
      <c r="AF183" s="8" t="s">
        <v>112</v>
      </c>
      <c r="AG183" s="8"/>
      <c r="AH183" s="167" t="s">
        <v>307</v>
      </c>
      <c r="AI183" s="167" t="s">
        <v>305</v>
      </c>
      <c r="AJ183" s="167" t="s">
        <v>306</v>
      </c>
      <c r="AK183" s="167" t="s">
        <v>308</v>
      </c>
    </row>
    <row r="184" spans="2:40">
      <c r="B184" s="5" t="s">
        <v>0</v>
      </c>
      <c r="C184" s="2">
        <v>42326</v>
      </c>
      <c r="D184" s="3">
        <f>D3</f>
        <v>1137.0000338962454</v>
      </c>
      <c r="E184" s="5" t="s">
        <v>17</v>
      </c>
      <c r="F184" s="5">
        <f>F3/$D3-F187</f>
        <v>32870070.120000001</v>
      </c>
      <c r="G184" s="5">
        <f t="shared" ref="G184:L185" si="27">G3/$D3</f>
        <v>0</v>
      </c>
      <c r="H184" s="5">
        <f t="shared" si="27"/>
        <v>0</v>
      </c>
      <c r="I184" s="5">
        <f t="shared" si="27"/>
        <v>0</v>
      </c>
      <c r="J184" s="5">
        <f t="shared" si="27"/>
        <v>0</v>
      </c>
      <c r="K184" s="5">
        <f t="shared" si="27"/>
        <v>0</v>
      </c>
      <c r="L184" s="5">
        <f t="shared" si="27"/>
        <v>0</v>
      </c>
      <c r="M184" s="5"/>
      <c r="N184" s="5"/>
      <c r="O184" s="5"/>
      <c r="P184" s="5">
        <f>P3/$D3</f>
        <v>0</v>
      </c>
      <c r="Q184" s="5"/>
      <c r="R184" s="5"/>
      <c r="S184" s="5"/>
      <c r="T184" s="5"/>
      <c r="U184" s="5"/>
      <c r="V184" s="5"/>
      <c r="W184" s="5"/>
      <c r="X184" s="5"/>
      <c r="Y184" s="5">
        <f>Y3/$D3</f>
        <v>0</v>
      </c>
      <c r="AA184" s="12"/>
      <c r="AB184" s="12"/>
      <c r="AC184" s="12"/>
      <c r="AD184" s="12"/>
      <c r="AE184" s="276">
        <f>SUM(F184:Y184)</f>
        <v>32870070.120000001</v>
      </c>
      <c r="AF184" s="355" t="s">
        <v>114</v>
      </c>
      <c r="AG184" s="8" t="s">
        <v>89</v>
      </c>
      <c r="AH184" s="43">
        <f>+AK184-AI184</f>
        <v>133744542</v>
      </c>
      <c r="AI184" s="168">
        <f>F244</f>
        <v>333195</v>
      </c>
      <c r="AJ184" s="168"/>
      <c r="AK184" s="169">
        <f>+F357</f>
        <v>134077737</v>
      </c>
    </row>
    <row r="185" spans="2:40">
      <c r="B185" s="5" t="s">
        <v>1</v>
      </c>
      <c r="C185" s="2">
        <v>42361</v>
      </c>
      <c r="D185" s="3">
        <f>D4</f>
        <v>1148</v>
      </c>
      <c r="E185" s="5" t="s">
        <v>17</v>
      </c>
      <c r="F185" s="5">
        <f>F4/$D4</f>
        <v>18600000</v>
      </c>
      <c r="G185" s="5">
        <f t="shared" si="27"/>
        <v>0</v>
      </c>
      <c r="H185" s="5">
        <f t="shared" si="27"/>
        <v>0</v>
      </c>
      <c r="I185" s="5">
        <f t="shared" si="27"/>
        <v>0</v>
      </c>
      <c r="J185" s="5">
        <f t="shared" si="27"/>
        <v>0</v>
      </c>
      <c r="K185" s="5">
        <f t="shared" si="27"/>
        <v>0</v>
      </c>
      <c r="L185" s="5">
        <f t="shared" si="27"/>
        <v>0</v>
      </c>
      <c r="M185" s="5"/>
      <c r="N185" s="5"/>
      <c r="O185" s="5"/>
      <c r="P185" s="5">
        <f>P4/$D4</f>
        <v>0</v>
      </c>
      <c r="Q185" s="5"/>
      <c r="R185" s="5"/>
      <c r="S185" s="5"/>
      <c r="T185" s="5"/>
      <c r="U185" s="5"/>
      <c r="V185" s="5"/>
      <c r="W185" s="5"/>
      <c r="X185" s="5"/>
      <c r="Y185" s="5">
        <f>Y4/$D4</f>
        <v>0</v>
      </c>
      <c r="AA185" s="12"/>
      <c r="AB185" s="12"/>
      <c r="AC185" s="12"/>
      <c r="AD185" s="12"/>
      <c r="AE185" s="276">
        <f>SUM(F185:Y185)</f>
        <v>18600000</v>
      </c>
      <c r="AF185" s="356"/>
      <c r="AG185" s="8" t="s">
        <v>90</v>
      </c>
      <c r="AH185" s="43">
        <f>AM185-AL185-AI185</f>
        <v>26529763</v>
      </c>
      <c r="AI185" s="168">
        <f>+G244</f>
        <v>50207</v>
      </c>
      <c r="AJ185" s="168"/>
      <c r="AK185" s="169">
        <f>G357-AL185</f>
        <v>26579970</v>
      </c>
      <c r="AL185" s="25">
        <f>G243+G246</f>
        <v>-6631400</v>
      </c>
      <c r="AM185" s="25">
        <f>+G357</f>
        <v>19948570</v>
      </c>
      <c r="AN185" s="6" t="s">
        <v>282</v>
      </c>
    </row>
    <row r="186" spans="2:40">
      <c r="B186" s="5" t="s">
        <v>2</v>
      </c>
      <c r="C186" s="2">
        <v>42395</v>
      </c>
      <c r="D186" s="3">
        <f>D5</f>
        <v>1207</v>
      </c>
      <c r="E186" s="5" t="s">
        <v>18</v>
      </c>
      <c r="F186" s="5">
        <f>F5/$D5</f>
        <v>0</v>
      </c>
      <c r="G186" s="5">
        <f>ROUND(G5/$D5-G187,0)</f>
        <v>18408958</v>
      </c>
      <c r="H186" s="5">
        <f>H5/$D5</f>
        <v>0</v>
      </c>
      <c r="I186" s="5">
        <f>I5/$D5</f>
        <v>0</v>
      </c>
      <c r="J186" s="5">
        <f>J5/$D5</f>
        <v>0</v>
      </c>
      <c r="K186" s="5">
        <f>K5/$D5</f>
        <v>0</v>
      </c>
      <c r="L186" s="5">
        <f>L5/$D5</f>
        <v>0</v>
      </c>
      <c r="M186" s="5"/>
      <c r="N186" s="5"/>
      <c r="O186" s="5"/>
      <c r="P186" s="5">
        <f>P5/$D5</f>
        <v>0</v>
      </c>
      <c r="Q186" s="5"/>
      <c r="R186" s="5"/>
      <c r="S186" s="5"/>
      <c r="T186" s="5"/>
      <c r="U186" s="5"/>
      <c r="V186" s="5"/>
      <c r="W186" s="5"/>
      <c r="X186" s="5"/>
      <c r="Y186" s="5">
        <f>Y5/$D5</f>
        <v>0</v>
      </c>
      <c r="AA186" s="12"/>
      <c r="AB186" s="12"/>
      <c r="AC186" s="12"/>
      <c r="AD186" s="12"/>
      <c r="AE186" s="276">
        <f t="shared" ref="AE186:AE249" si="28">SUM(F186:Y186)</f>
        <v>18408958</v>
      </c>
      <c r="AF186" s="356"/>
      <c r="AG186" s="8" t="s">
        <v>91</v>
      </c>
      <c r="AH186" s="43">
        <f>+AK186-AI186</f>
        <v>86182436</v>
      </c>
      <c r="AI186" s="168">
        <f>+H244</f>
        <v>468500</v>
      </c>
      <c r="AJ186" s="168"/>
      <c r="AK186" s="170">
        <f>+H357</f>
        <v>86650936</v>
      </c>
    </row>
    <row r="187" spans="2:40" ht="13.5" customHeight="1">
      <c r="B187" s="28"/>
      <c r="C187" s="29"/>
      <c r="D187" s="30"/>
      <c r="E187" s="28" t="s">
        <v>88</v>
      </c>
      <c r="F187" s="28">
        <f>673438.000000004+29.88</f>
        <v>673467.88000000396</v>
      </c>
      <c r="G187" s="28">
        <f>ROUND(136000.300000001-29.48,0)</f>
        <v>135971</v>
      </c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AA187" s="12"/>
      <c r="AB187" s="12"/>
      <c r="AC187" s="12"/>
      <c r="AD187" s="12"/>
      <c r="AE187" s="277">
        <f t="shared" si="28"/>
        <v>809438.88000000396</v>
      </c>
      <c r="AF187" s="357"/>
      <c r="AG187" s="8" t="s">
        <v>92</v>
      </c>
      <c r="AH187" s="43">
        <f t="shared" ref="AH187:AH191" si="29">+AK187-AI187</f>
        <v>34480809</v>
      </c>
      <c r="AI187" s="13">
        <f>+I244+I245+I247</f>
        <v>1211765</v>
      </c>
      <c r="AJ187" s="13"/>
      <c r="AK187" s="170">
        <f>+I357</f>
        <v>35692574</v>
      </c>
      <c r="AL187" s="6" t="s">
        <v>283</v>
      </c>
    </row>
    <row r="188" spans="2:40" ht="12.75" customHeight="1">
      <c r="B188" s="5" t="s">
        <v>3</v>
      </c>
      <c r="C188" s="2">
        <v>42450</v>
      </c>
      <c r="D188" s="3">
        <f t="shared" ref="D188:D210" si="30">D7</f>
        <v>1204.9999623501474</v>
      </c>
      <c r="E188" s="5" t="s">
        <v>19</v>
      </c>
      <c r="F188" s="5">
        <f t="shared" ref="F188:L190" si="31">F7/$D7</f>
        <v>0</v>
      </c>
      <c r="G188" s="5">
        <f t="shared" si="31"/>
        <v>0</v>
      </c>
      <c r="H188" s="194">
        <f t="shared" si="31"/>
        <v>7330706.0000000009</v>
      </c>
      <c r="I188" s="5">
        <f t="shared" si="31"/>
        <v>0</v>
      </c>
      <c r="J188" s="5">
        <f t="shared" si="31"/>
        <v>0</v>
      </c>
      <c r="K188" s="5">
        <f t="shared" si="31"/>
        <v>0</v>
      </c>
      <c r="L188" s="5">
        <f t="shared" si="31"/>
        <v>0</v>
      </c>
      <c r="M188" s="5"/>
      <c r="N188" s="5"/>
      <c r="O188" s="5"/>
      <c r="P188" s="5">
        <f t="shared" ref="P188:P198" si="32">P7/$D7</f>
        <v>0</v>
      </c>
      <c r="Q188" s="5"/>
      <c r="R188" s="5"/>
      <c r="S188" s="5"/>
      <c r="T188" s="5"/>
      <c r="U188" s="5"/>
      <c r="V188" s="5"/>
      <c r="W188" s="5"/>
      <c r="X188" s="5"/>
      <c r="Y188" s="5">
        <f t="shared" ref="Y188:Y197" si="33">Y7/$D7</f>
        <v>0</v>
      </c>
      <c r="AA188" s="12"/>
      <c r="AB188" s="12"/>
      <c r="AC188" s="12"/>
      <c r="AD188" s="12"/>
      <c r="AE188" s="277">
        <f t="shared" si="28"/>
        <v>7330706.0000000009</v>
      </c>
      <c r="AF188" s="358" t="s">
        <v>309</v>
      </c>
      <c r="AG188" s="8" t="s">
        <v>113</v>
      </c>
      <c r="AH188" s="43">
        <f t="shared" si="29"/>
        <v>37265083</v>
      </c>
      <c r="AI188" s="13">
        <f>+J244</f>
        <v>162448</v>
      </c>
      <c r="AJ188" s="13"/>
      <c r="AK188" s="169">
        <f>J357</f>
        <v>37427531</v>
      </c>
    </row>
    <row r="189" spans="2:40">
      <c r="B189" s="5" t="s">
        <v>4</v>
      </c>
      <c r="C189" s="2">
        <v>42527</v>
      </c>
      <c r="D189" s="3">
        <f t="shared" si="30"/>
        <v>1184.1450029871723</v>
      </c>
      <c r="E189" s="5" t="s">
        <v>17</v>
      </c>
      <c r="F189" s="5">
        <f t="shared" si="31"/>
        <v>73157817</v>
      </c>
      <c r="G189" s="5">
        <f t="shared" si="31"/>
        <v>0</v>
      </c>
      <c r="H189" s="5">
        <f t="shared" si="31"/>
        <v>0</v>
      </c>
      <c r="I189" s="5">
        <f t="shared" si="31"/>
        <v>0</v>
      </c>
      <c r="J189" s="5">
        <f t="shared" si="31"/>
        <v>0</v>
      </c>
      <c r="K189" s="5">
        <f t="shared" si="31"/>
        <v>0</v>
      </c>
      <c r="L189" s="5">
        <f t="shared" si="31"/>
        <v>0</v>
      </c>
      <c r="M189" s="5"/>
      <c r="N189" s="5"/>
      <c r="O189" s="5"/>
      <c r="P189" s="5">
        <f t="shared" si="32"/>
        <v>0</v>
      </c>
      <c r="Q189" s="5"/>
      <c r="R189" s="5"/>
      <c r="S189" s="5"/>
      <c r="T189" s="5"/>
      <c r="U189" s="5"/>
      <c r="V189" s="5"/>
      <c r="W189" s="5"/>
      <c r="X189" s="5"/>
      <c r="Y189" s="5">
        <f t="shared" si="33"/>
        <v>0</v>
      </c>
      <c r="AA189" s="12"/>
      <c r="AB189" s="12"/>
      <c r="AC189" s="12"/>
      <c r="AD189" s="12"/>
      <c r="AE189" s="277">
        <f t="shared" si="28"/>
        <v>73157817</v>
      </c>
      <c r="AF189" s="358"/>
      <c r="AG189" s="8" t="s">
        <v>93</v>
      </c>
      <c r="AH189" s="43">
        <f t="shared" si="29"/>
        <v>27876509</v>
      </c>
      <c r="AI189" s="13">
        <f>+K244</f>
        <v>98019</v>
      </c>
      <c r="AJ189" s="13"/>
      <c r="AK189" s="170">
        <f>+K357</f>
        <v>27974528</v>
      </c>
      <c r="AL189" s="162">
        <f>+K261</f>
        <v>0</v>
      </c>
    </row>
    <row r="190" spans="2:40">
      <c r="B190" s="5" t="s">
        <v>5</v>
      </c>
      <c r="C190" s="2">
        <v>42535</v>
      </c>
      <c r="D190" s="3">
        <f t="shared" si="30"/>
        <v>1186.59999943049</v>
      </c>
      <c r="E190" s="5" t="s">
        <v>29</v>
      </c>
      <c r="F190" s="5">
        <f t="shared" si="31"/>
        <v>0</v>
      </c>
      <c r="G190" s="5">
        <f t="shared" si="31"/>
        <v>0</v>
      </c>
      <c r="H190" s="5">
        <f t="shared" si="31"/>
        <v>8683091.8464057874</v>
      </c>
      <c r="I190" s="5">
        <f t="shared" si="31"/>
        <v>0</v>
      </c>
      <c r="J190" s="5">
        <f t="shared" si="31"/>
        <v>0</v>
      </c>
      <c r="K190" s="5">
        <f t="shared" si="31"/>
        <v>0</v>
      </c>
      <c r="L190" s="5">
        <f t="shared" si="31"/>
        <v>0</v>
      </c>
      <c r="M190" s="5"/>
      <c r="N190" s="5"/>
      <c r="O190" s="5"/>
      <c r="P190" s="5">
        <f t="shared" si="32"/>
        <v>1149924.1535942131</v>
      </c>
      <c r="Q190" s="5"/>
      <c r="R190" s="5"/>
      <c r="S190" s="5"/>
      <c r="T190" s="5"/>
      <c r="U190" s="5"/>
      <c r="V190" s="5"/>
      <c r="W190" s="5"/>
      <c r="X190" s="5"/>
      <c r="Y190" s="5">
        <f t="shared" si="33"/>
        <v>0</v>
      </c>
      <c r="AA190" s="12"/>
      <c r="AB190" s="12"/>
      <c r="AC190" s="12"/>
      <c r="AD190" s="12"/>
      <c r="AE190" s="277">
        <f t="shared" si="28"/>
        <v>9833016</v>
      </c>
      <c r="AF190" s="358"/>
      <c r="AG190" s="8" t="s">
        <v>94</v>
      </c>
      <c r="AH190" s="43">
        <f t="shared" si="29"/>
        <v>34004361</v>
      </c>
      <c r="AI190" s="13">
        <f>+L244</f>
        <v>819135</v>
      </c>
      <c r="AJ190" s="13"/>
      <c r="AK190" s="169">
        <f>+L357</f>
        <v>34823496</v>
      </c>
      <c r="AL190" s="45"/>
    </row>
    <row r="191" spans="2:40" ht="13.5" customHeight="1">
      <c r="B191" s="5" t="s">
        <v>6</v>
      </c>
      <c r="C191" s="2">
        <v>42572</v>
      </c>
      <c r="D191" s="3">
        <f t="shared" si="30"/>
        <v>1146.0999812288335</v>
      </c>
      <c r="E191" s="5" t="s">
        <v>30</v>
      </c>
      <c r="F191" s="5">
        <f t="shared" ref="F191:H195" si="34">F10/$D10</f>
        <v>0</v>
      </c>
      <c r="G191" s="5">
        <f t="shared" si="34"/>
        <v>0</v>
      </c>
      <c r="H191" s="5">
        <f t="shared" si="34"/>
        <v>1178629.8404364863</v>
      </c>
      <c r="I191" s="5">
        <f>ROUND(I10/$D10,0)</f>
        <v>13396916</v>
      </c>
      <c r="J191" s="5">
        <f t="shared" ref="J191:L197" si="35">J10/$D10</f>
        <v>0</v>
      </c>
      <c r="K191" s="5">
        <f t="shared" si="35"/>
        <v>0</v>
      </c>
      <c r="L191" s="5">
        <f t="shared" si="35"/>
        <v>0</v>
      </c>
      <c r="M191" s="5"/>
      <c r="N191" s="5"/>
      <c r="O191" s="5"/>
      <c r="P191" s="5">
        <f t="shared" si="32"/>
        <v>0</v>
      </c>
      <c r="Q191" s="5"/>
      <c r="R191" s="5"/>
      <c r="S191" s="5"/>
      <c r="T191" s="5"/>
      <c r="U191" s="5"/>
      <c r="V191" s="5"/>
      <c r="W191" s="5"/>
      <c r="X191" s="5"/>
      <c r="Y191" s="5">
        <f t="shared" si="33"/>
        <v>0</v>
      </c>
      <c r="AA191" s="12"/>
      <c r="AB191" s="12"/>
      <c r="AC191" s="12"/>
      <c r="AD191" s="12"/>
      <c r="AE191" s="276">
        <f t="shared" si="28"/>
        <v>14575545.840436487</v>
      </c>
      <c r="AF191" s="358"/>
      <c r="AG191" s="8" t="s">
        <v>95</v>
      </c>
      <c r="AH191" s="43">
        <f t="shared" si="29"/>
        <v>23467788</v>
      </c>
      <c r="AI191" s="13">
        <f>+M244</f>
        <v>717711</v>
      </c>
      <c r="AJ191" s="13"/>
      <c r="AK191" s="169">
        <f>M357</f>
        <v>24185499</v>
      </c>
    </row>
    <row r="192" spans="2:40" ht="15" customHeight="1">
      <c r="B192" s="5" t="s">
        <v>7</v>
      </c>
      <c r="C192" s="2">
        <v>42573</v>
      </c>
      <c r="D192" s="3">
        <f t="shared" si="30"/>
        <v>1146.1000809189907</v>
      </c>
      <c r="E192" s="5" t="s">
        <v>31</v>
      </c>
      <c r="F192" s="5">
        <f t="shared" si="34"/>
        <v>0</v>
      </c>
      <c r="G192" s="5">
        <f t="shared" si="34"/>
        <v>0</v>
      </c>
      <c r="H192" s="5">
        <f t="shared" si="34"/>
        <v>0</v>
      </c>
      <c r="I192" s="5">
        <f t="shared" ref="I192:I198" si="36">I11/$D11</f>
        <v>0</v>
      </c>
      <c r="J192" s="5">
        <f t="shared" si="35"/>
        <v>0</v>
      </c>
      <c r="K192" s="5">
        <f t="shared" si="35"/>
        <v>0</v>
      </c>
      <c r="L192" s="5">
        <f t="shared" si="35"/>
        <v>0</v>
      </c>
      <c r="M192" s="5"/>
      <c r="N192" s="5"/>
      <c r="O192" s="5"/>
      <c r="P192" s="194">
        <f t="shared" si="32"/>
        <v>4624378</v>
      </c>
      <c r="Q192" s="5"/>
      <c r="R192" s="5"/>
      <c r="S192" s="5"/>
      <c r="T192" s="5"/>
      <c r="U192" s="5"/>
      <c r="V192" s="5"/>
      <c r="W192" s="5"/>
      <c r="X192" s="5"/>
      <c r="Y192" s="5">
        <f t="shared" si="33"/>
        <v>0</v>
      </c>
      <c r="AA192" s="12"/>
      <c r="AB192" s="12"/>
      <c r="AC192" s="12"/>
      <c r="AD192" s="12"/>
      <c r="AE192" s="278">
        <f t="shared" si="28"/>
        <v>4624378</v>
      </c>
      <c r="AF192" s="358"/>
      <c r="AG192" s="8" t="s">
        <v>97</v>
      </c>
      <c r="AH192" s="43">
        <f>+AK192-AI192</f>
        <v>89935227</v>
      </c>
      <c r="AI192" s="13">
        <f>+N244</f>
        <v>1081265</v>
      </c>
      <c r="AJ192" s="13"/>
      <c r="AK192" s="169">
        <f>N357</f>
        <v>91016492</v>
      </c>
    </row>
    <row r="193" spans="2:39">
      <c r="B193" s="5" t="s">
        <v>8</v>
      </c>
      <c r="C193" s="2">
        <v>42605</v>
      </c>
      <c r="D193" s="3">
        <f t="shared" si="30"/>
        <v>1110.0000091198522</v>
      </c>
      <c r="E193" s="5" t="s">
        <v>32</v>
      </c>
      <c r="F193" s="5">
        <f t="shared" si="34"/>
        <v>0</v>
      </c>
      <c r="G193" s="5">
        <f t="shared" si="34"/>
        <v>0</v>
      </c>
      <c r="H193" s="5">
        <f t="shared" si="34"/>
        <v>0</v>
      </c>
      <c r="I193" s="5">
        <f t="shared" si="36"/>
        <v>0</v>
      </c>
      <c r="J193" s="5">
        <f t="shared" si="35"/>
        <v>0</v>
      </c>
      <c r="K193" s="5">
        <f t="shared" si="35"/>
        <v>0</v>
      </c>
      <c r="L193" s="5">
        <f t="shared" si="35"/>
        <v>0</v>
      </c>
      <c r="M193" s="5"/>
      <c r="N193" s="5"/>
      <c r="O193" s="5"/>
      <c r="P193" s="194">
        <f t="shared" si="32"/>
        <v>5579279.2334394576</v>
      </c>
      <c r="Q193" s="5"/>
      <c r="R193" s="5"/>
      <c r="S193" s="5"/>
      <c r="T193" s="5"/>
      <c r="U193" s="5"/>
      <c r="V193" s="5"/>
      <c r="W193" s="5"/>
      <c r="X193" s="5"/>
      <c r="Y193" s="5">
        <f t="shared" si="33"/>
        <v>0</v>
      </c>
      <c r="AA193" s="12"/>
      <c r="AB193" s="12"/>
      <c r="AC193" s="12"/>
      <c r="AD193" s="12"/>
      <c r="AE193" s="278">
        <f t="shared" si="28"/>
        <v>5579279.2334394576</v>
      </c>
      <c r="AF193" s="358"/>
      <c r="AG193" s="8" t="s">
        <v>98</v>
      </c>
      <c r="AH193" s="43">
        <f>+AK193-AI193</f>
        <v>143038824</v>
      </c>
      <c r="AI193" s="13">
        <f>+O244</f>
        <v>1524707</v>
      </c>
      <c r="AJ193" s="13"/>
      <c r="AK193" s="169">
        <f>O357</f>
        <v>144563531</v>
      </c>
    </row>
    <row r="194" spans="2:39">
      <c r="B194" s="5" t="s">
        <v>8</v>
      </c>
      <c r="C194" s="2">
        <v>42605</v>
      </c>
      <c r="D194" s="3">
        <f t="shared" si="30"/>
        <v>1110.0000091198522</v>
      </c>
      <c r="E194" s="5" t="s">
        <v>43</v>
      </c>
      <c r="F194" s="5">
        <f t="shared" si="34"/>
        <v>0</v>
      </c>
      <c r="G194" s="5">
        <f t="shared" si="34"/>
        <v>0</v>
      </c>
      <c r="H194" s="5">
        <f t="shared" si="34"/>
        <v>0</v>
      </c>
      <c r="I194" s="5">
        <f t="shared" si="36"/>
        <v>0</v>
      </c>
      <c r="J194" s="5">
        <f t="shared" si="35"/>
        <v>0</v>
      </c>
      <c r="K194" s="5">
        <f t="shared" si="35"/>
        <v>0</v>
      </c>
      <c r="L194" s="5">
        <f t="shared" si="35"/>
        <v>0</v>
      </c>
      <c r="M194" s="5"/>
      <c r="N194" s="5"/>
      <c r="O194" s="5"/>
      <c r="P194" s="5">
        <f t="shared" si="32"/>
        <v>-1193243.2334394578</v>
      </c>
      <c r="Q194" s="5"/>
      <c r="R194" s="5"/>
      <c r="S194" s="5"/>
      <c r="T194" s="5"/>
      <c r="U194" s="5"/>
      <c r="V194" s="5"/>
      <c r="W194" s="5"/>
      <c r="X194" s="5"/>
      <c r="Y194" s="5">
        <f t="shared" si="33"/>
        <v>0</v>
      </c>
      <c r="AA194" s="12"/>
      <c r="AB194" s="12"/>
      <c r="AC194" s="12"/>
      <c r="AD194" s="12"/>
      <c r="AE194" s="278">
        <f t="shared" si="28"/>
        <v>-1193243.2334394578</v>
      </c>
      <c r="AF194" s="358"/>
      <c r="AG194" s="8" t="s">
        <v>125</v>
      </c>
      <c r="AH194" s="171"/>
      <c r="AI194" s="8"/>
      <c r="AJ194" s="8"/>
      <c r="AK194" s="169">
        <f>Q357</f>
        <v>58929481</v>
      </c>
    </row>
    <row r="195" spans="2:39">
      <c r="B195" s="5" t="s">
        <v>9</v>
      </c>
      <c r="C195" s="2">
        <v>42636</v>
      </c>
      <c r="D195" s="3">
        <f t="shared" si="30"/>
        <v>1090.000006698778</v>
      </c>
      <c r="E195" s="5" t="s">
        <v>19</v>
      </c>
      <c r="F195" s="5">
        <f t="shared" si="34"/>
        <v>0</v>
      </c>
      <c r="G195" s="5">
        <f t="shared" si="34"/>
        <v>0</v>
      </c>
      <c r="H195" s="5">
        <f t="shared" si="34"/>
        <v>49113436</v>
      </c>
      <c r="I195" s="5">
        <f t="shared" si="36"/>
        <v>0</v>
      </c>
      <c r="J195" s="5">
        <f t="shared" si="35"/>
        <v>0</v>
      </c>
      <c r="K195" s="5">
        <f t="shared" si="35"/>
        <v>0</v>
      </c>
      <c r="L195" s="5">
        <f t="shared" si="35"/>
        <v>0</v>
      </c>
      <c r="M195" s="5"/>
      <c r="N195" s="5"/>
      <c r="O195" s="5"/>
      <c r="P195" s="5">
        <f t="shared" si="32"/>
        <v>0</v>
      </c>
      <c r="Q195" s="5"/>
      <c r="R195" s="5"/>
      <c r="S195" s="5"/>
      <c r="T195" s="5"/>
      <c r="U195" s="5"/>
      <c r="V195" s="5"/>
      <c r="W195" s="5"/>
      <c r="X195" s="5"/>
      <c r="Y195" s="5">
        <f t="shared" si="33"/>
        <v>0</v>
      </c>
      <c r="AA195" s="12"/>
      <c r="AB195" s="12"/>
      <c r="AC195" s="12"/>
      <c r="AD195" s="12"/>
      <c r="AE195" s="278">
        <f t="shared" si="28"/>
        <v>49113436</v>
      </c>
      <c r="AF195" s="358"/>
      <c r="AG195" s="8" t="s">
        <v>186</v>
      </c>
      <c r="AH195" s="171"/>
      <c r="AI195" s="8"/>
      <c r="AJ195" s="8"/>
      <c r="AK195" s="169">
        <f>R357</f>
        <v>23297486</v>
      </c>
    </row>
    <row r="196" spans="2:39">
      <c r="B196" s="5" t="s">
        <v>10</v>
      </c>
      <c r="C196" s="2">
        <v>42663</v>
      </c>
      <c r="D196" s="3">
        <f t="shared" si="30"/>
        <v>1095.9999649601339</v>
      </c>
      <c r="E196" s="5" t="s">
        <v>33</v>
      </c>
      <c r="F196" s="5">
        <f>F15/$D15</f>
        <v>696000.02225159458</v>
      </c>
      <c r="G196" s="5">
        <f>ROUND(G15/$D15,0)</f>
        <v>4783473</v>
      </c>
      <c r="H196" s="5">
        <f>H15/$D15</f>
        <v>0</v>
      </c>
      <c r="I196" s="5">
        <f t="shared" si="36"/>
        <v>0</v>
      </c>
      <c r="J196" s="5">
        <f t="shared" si="35"/>
        <v>0</v>
      </c>
      <c r="K196" s="5">
        <f t="shared" si="35"/>
        <v>0</v>
      </c>
      <c r="L196" s="5">
        <f t="shared" si="35"/>
        <v>0</v>
      </c>
      <c r="M196" s="5"/>
      <c r="N196" s="5"/>
      <c r="O196" s="5"/>
      <c r="P196" s="5">
        <f t="shared" si="32"/>
        <v>0</v>
      </c>
      <c r="Q196" s="5"/>
      <c r="R196" s="5"/>
      <c r="S196" s="5"/>
      <c r="T196" s="5"/>
      <c r="U196" s="5"/>
      <c r="V196" s="5"/>
      <c r="W196" s="5"/>
      <c r="X196" s="5"/>
      <c r="Y196" s="5">
        <f t="shared" si="33"/>
        <v>0</v>
      </c>
      <c r="AA196" s="12"/>
      <c r="AB196" s="12"/>
      <c r="AC196" s="12"/>
      <c r="AD196" s="12"/>
      <c r="AE196" s="278">
        <f t="shared" si="28"/>
        <v>5479473.0222515948</v>
      </c>
      <c r="AF196" s="358"/>
      <c r="AG196" s="8" t="s">
        <v>191</v>
      </c>
      <c r="AH196" s="171"/>
      <c r="AI196" s="8"/>
      <c r="AJ196" s="8"/>
      <c r="AK196" s="169">
        <f>S357</f>
        <v>67478673</v>
      </c>
    </row>
    <row r="197" spans="2:39">
      <c r="B197" s="5" t="s">
        <v>11</v>
      </c>
      <c r="C197" s="2">
        <v>42719</v>
      </c>
      <c r="D197" s="3">
        <f t="shared" si="30"/>
        <v>1175.5064812043586</v>
      </c>
      <c r="E197" s="5" t="s">
        <v>18</v>
      </c>
      <c r="F197" s="5">
        <f>F16/$D16</f>
        <v>0</v>
      </c>
      <c r="G197" s="5">
        <f>G16/$D16</f>
        <v>1680629</v>
      </c>
      <c r="H197" s="5">
        <f>H16/$D16</f>
        <v>0</v>
      </c>
      <c r="I197" s="5">
        <f t="shared" si="36"/>
        <v>0</v>
      </c>
      <c r="J197" s="5">
        <f t="shared" si="35"/>
        <v>0</v>
      </c>
      <c r="K197" s="5">
        <f t="shared" si="35"/>
        <v>0</v>
      </c>
      <c r="L197" s="5">
        <f t="shared" si="35"/>
        <v>0</v>
      </c>
      <c r="M197" s="5"/>
      <c r="N197" s="5"/>
      <c r="O197" s="5"/>
      <c r="P197" s="5">
        <f t="shared" si="32"/>
        <v>0</v>
      </c>
      <c r="Q197" s="5"/>
      <c r="R197" s="5"/>
      <c r="S197" s="5"/>
      <c r="T197" s="5"/>
      <c r="U197" s="5"/>
      <c r="V197" s="5"/>
      <c r="W197" s="5"/>
      <c r="X197" s="5"/>
      <c r="Y197" s="5">
        <f t="shared" si="33"/>
        <v>0</v>
      </c>
      <c r="AA197" s="12"/>
      <c r="AB197" s="12"/>
      <c r="AC197" s="12"/>
      <c r="AD197" s="12"/>
      <c r="AE197" s="278">
        <f t="shared" si="28"/>
        <v>1680629</v>
      </c>
      <c r="AF197" s="358"/>
      <c r="AG197" s="8" t="s">
        <v>224</v>
      </c>
      <c r="AH197" s="171"/>
      <c r="AI197" s="8"/>
      <c r="AJ197" s="8"/>
      <c r="AK197" s="169">
        <f>T357</f>
        <v>51327081</v>
      </c>
    </row>
    <row r="198" spans="2:39">
      <c r="B198" s="311" t="s">
        <v>12</v>
      </c>
      <c r="C198" s="314">
        <v>42790</v>
      </c>
      <c r="D198" s="3">
        <f t="shared" si="30"/>
        <v>1138.4999465739954</v>
      </c>
      <c r="E198" s="5" t="s">
        <v>21</v>
      </c>
      <c r="F198" s="5">
        <f>F17/$D17</f>
        <v>0</v>
      </c>
      <c r="G198" s="5">
        <f>G17/$D17</f>
        <v>0</v>
      </c>
      <c r="H198" s="5">
        <f>H17/$D17</f>
        <v>0</v>
      </c>
      <c r="I198" s="5">
        <f t="shared" si="36"/>
        <v>0</v>
      </c>
      <c r="J198" s="5"/>
      <c r="K198" s="5">
        <v>19962188</v>
      </c>
      <c r="L198" s="5">
        <f>L17/$D17</f>
        <v>0</v>
      </c>
      <c r="M198" s="5"/>
      <c r="N198" s="5"/>
      <c r="O198" s="5"/>
      <c r="P198" s="5">
        <f t="shared" si="32"/>
        <v>0</v>
      </c>
      <c r="Q198" s="5"/>
      <c r="R198" s="5"/>
      <c r="S198" s="5"/>
      <c r="T198" s="5"/>
      <c r="U198" s="5"/>
      <c r="V198" s="5"/>
      <c r="W198" s="5"/>
      <c r="X198" s="5"/>
      <c r="Y198" s="195">
        <f>Y17/D17</f>
        <v>276679.85488089523</v>
      </c>
      <c r="AA198" s="12"/>
      <c r="AB198" s="12"/>
      <c r="AC198" s="12"/>
      <c r="AD198" s="12"/>
      <c r="AE198" s="278">
        <f t="shared" si="28"/>
        <v>20238867.854880895</v>
      </c>
      <c r="AF198" s="358"/>
      <c r="AG198" s="8" t="s">
        <v>275</v>
      </c>
      <c r="AH198" s="171"/>
      <c r="AI198" s="8"/>
      <c r="AJ198" s="8"/>
      <c r="AK198" s="169">
        <f>+U357</f>
        <v>90720750</v>
      </c>
    </row>
    <row r="199" spans="2:39">
      <c r="B199" s="313"/>
      <c r="C199" s="316"/>
      <c r="D199" s="3">
        <f t="shared" si="30"/>
        <v>1147.8499999999999</v>
      </c>
      <c r="E199" s="5" t="str">
        <f t="shared" ref="E199:E205" si="37">E18</f>
        <v>Ilmok networks investment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195">
        <f>Y18/D18</f>
        <v>-261358.19140131553</v>
      </c>
      <c r="AA199" s="12"/>
      <c r="AB199" s="12"/>
      <c r="AC199" s="12"/>
      <c r="AD199" s="12"/>
      <c r="AE199" s="278">
        <f t="shared" si="28"/>
        <v>-261358.19140131553</v>
      </c>
      <c r="AF199" s="358"/>
      <c r="AG199" s="8" t="s">
        <v>299</v>
      </c>
      <c r="AH199" s="171"/>
      <c r="AI199" s="8"/>
      <c r="AJ199" s="8"/>
      <c r="AK199" s="169">
        <f>V357</f>
        <v>64790298</v>
      </c>
    </row>
    <row r="200" spans="2:39">
      <c r="B200" s="311" t="s">
        <v>13</v>
      </c>
      <c r="C200" s="314">
        <v>42850</v>
      </c>
      <c r="D200" s="3">
        <f t="shared" si="30"/>
        <v>1130.9999954563164</v>
      </c>
      <c r="E200" s="5" t="str">
        <f t="shared" si="37"/>
        <v>Bucheon 1-3</v>
      </c>
      <c r="F200" s="5">
        <f t="shared" ref="F200:L200" si="38">F19/$D19</f>
        <v>0</v>
      </c>
      <c r="G200" s="5">
        <f t="shared" si="38"/>
        <v>0</v>
      </c>
      <c r="H200" s="5">
        <f t="shared" si="38"/>
        <v>0</v>
      </c>
      <c r="I200" s="5">
        <f t="shared" si="38"/>
        <v>0</v>
      </c>
      <c r="J200" s="5">
        <f t="shared" si="38"/>
        <v>23906359.973141413</v>
      </c>
      <c r="K200" s="5">
        <f t="shared" si="38"/>
        <v>0</v>
      </c>
      <c r="L200" s="5">
        <f t="shared" si="38"/>
        <v>0</v>
      </c>
      <c r="M200" s="5"/>
      <c r="N200" s="5"/>
      <c r="O200" s="5"/>
      <c r="P200" s="5">
        <f t="shared" ref="P200:P205" si="39">P19/$D19</f>
        <v>0</v>
      </c>
      <c r="Q200" s="5"/>
      <c r="R200" s="5"/>
      <c r="S200" s="5"/>
      <c r="T200" s="5"/>
      <c r="U200" s="5"/>
      <c r="V200" s="5"/>
      <c r="W200" s="5"/>
      <c r="X200" s="5"/>
      <c r="Y200" s="195">
        <f>Y19/D19</f>
        <v>278514.58997832198</v>
      </c>
      <c r="AA200" s="12"/>
      <c r="AB200" s="12"/>
      <c r="AC200" s="12"/>
      <c r="AD200" s="12"/>
      <c r="AE200" s="278">
        <f t="shared" si="28"/>
        <v>24184874.563119736</v>
      </c>
      <c r="AF200" s="151"/>
      <c r="AG200" s="8" t="s">
        <v>346</v>
      </c>
      <c r="AH200" s="171"/>
      <c r="AI200" s="8"/>
      <c r="AJ200" s="8"/>
      <c r="AK200" s="169">
        <f>W357</f>
        <v>3753801</v>
      </c>
    </row>
    <row r="201" spans="2:39" ht="14.25" thickBot="1">
      <c r="B201" s="312"/>
      <c r="C201" s="315"/>
      <c r="D201" s="3">
        <f t="shared" si="30"/>
        <v>1127.1400000000001</v>
      </c>
      <c r="E201" s="5" t="str">
        <f t="shared" si="37"/>
        <v>Ilmok networks investment (BU cold)</v>
      </c>
      <c r="F201" s="5">
        <f>F20/$D20</f>
        <v>0</v>
      </c>
      <c r="G201" s="5">
        <f>G20/$D20</f>
        <v>0</v>
      </c>
      <c r="H201" s="196">
        <f>H20/$D20</f>
        <v>0</v>
      </c>
      <c r="I201" s="5">
        <f>I20/$D20</f>
        <v>0</v>
      </c>
      <c r="J201" s="5"/>
      <c r="K201" s="5">
        <f t="shared" ref="K201:L205" si="40">K20/$D20</f>
        <v>0</v>
      </c>
      <c r="L201" s="5">
        <f t="shared" si="40"/>
        <v>0</v>
      </c>
      <c r="M201" s="5"/>
      <c r="N201" s="5"/>
      <c r="O201" s="5"/>
      <c r="P201" s="5">
        <f t="shared" si="39"/>
        <v>0</v>
      </c>
      <c r="Q201" s="5"/>
      <c r="R201" s="5"/>
      <c r="S201" s="5"/>
      <c r="T201" s="5"/>
      <c r="U201" s="5"/>
      <c r="V201" s="5"/>
      <c r="W201" s="5"/>
      <c r="X201" s="5"/>
      <c r="Y201" s="195">
        <f>Y20/D20</f>
        <v>-266160.37049523572</v>
      </c>
      <c r="AA201" s="12"/>
      <c r="AB201" s="12"/>
      <c r="AC201" s="12"/>
      <c r="AD201" s="12"/>
      <c r="AE201" s="278">
        <f t="shared" si="28"/>
        <v>-266160.37049523572</v>
      </c>
      <c r="AK201" s="241">
        <f>SUM(AK184:AK200)</f>
        <v>1003289864</v>
      </c>
    </row>
    <row r="202" spans="2:39">
      <c r="B202" s="312"/>
      <c r="C202" s="315"/>
      <c r="D202" s="3">
        <f t="shared" si="30"/>
        <v>1130.9999954563164</v>
      </c>
      <c r="E202" s="5" t="str">
        <f t="shared" si="37"/>
        <v>Goyang</v>
      </c>
      <c r="F202" s="5">
        <f>F21/$D21</f>
        <v>0</v>
      </c>
      <c r="G202" s="48">
        <f>G21/$D21</f>
        <v>0</v>
      </c>
      <c r="H202" s="197">
        <f>19053018</f>
        <v>19053018</v>
      </c>
      <c r="I202" s="198">
        <f t="shared" ref="I202:J205" si="41">I21/$D21</f>
        <v>0</v>
      </c>
      <c r="J202" s="5">
        <f t="shared" si="41"/>
        <v>0</v>
      </c>
      <c r="K202" s="5">
        <f t="shared" si="40"/>
        <v>0</v>
      </c>
      <c r="L202" s="5">
        <f t="shared" si="40"/>
        <v>0</v>
      </c>
      <c r="M202" s="5"/>
      <c r="N202" s="5"/>
      <c r="O202" s="5"/>
      <c r="P202" s="5">
        <f t="shared" si="39"/>
        <v>0</v>
      </c>
      <c r="Q202" s="5"/>
      <c r="R202" s="5"/>
      <c r="S202" s="5"/>
      <c r="T202" s="5"/>
      <c r="U202" s="5"/>
      <c r="V202" s="5"/>
      <c r="W202" s="5"/>
      <c r="X202" s="5"/>
      <c r="Y202" s="5">
        <f>Y21/$D21</f>
        <v>0</v>
      </c>
      <c r="AA202" s="12"/>
      <c r="AB202" s="12"/>
      <c r="AC202" s="12"/>
      <c r="AD202" s="12"/>
      <c r="AE202" s="278">
        <f t="shared" si="28"/>
        <v>19053018</v>
      </c>
      <c r="AK202" s="25"/>
    </row>
    <row r="203" spans="2:39">
      <c r="B203" s="312"/>
      <c r="C203" s="315"/>
      <c r="D203" s="3">
        <f t="shared" si="30"/>
        <v>1130.9999954563164</v>
      </c>
      <c r="E203" s="5" t="str">
        <f t="shared" si="37"/>
        <v>Ilmok star loan repayment(SD)</v>
      </c>
      <c r="F203" s="5">
        <f>F22/$D22</f>
        <v>0</v>
      </c>
      <c r="G203" s="48">
        <f>G22/$D22</f>
        <v>0</v>
      </c>
      <c r="H203" s="232">
        <v>-9902741</v>
      </c>
      <c r="I203" s="198">
        <f t="shared" si="41"/>
        <v>0</v>
      </c>
      <c r="J203" s="5">
        <f t="shared" si="41"/>
        <v>0</v>
      </c>
      <c r="K203" s="5">
        <f t="shared" si="40"/>
        <v>0</v>
      </c>
      <c r="L203" s="5">
        <f t="shared" si="40"/>
        <v>0</v>
      </c>
      <c r="M203" s="5"/>
      <c r="N203" s="5"/>
      <c r="O203" s="5"/>
      <c r="P203" s="5">
        <f t="shared" si="39"/>
        <v>0</v>
      </c>
      <c r="Q203" s="5"/>
      <c r="R203" s="5"/>
      <c r="S203" s="5"/>
      <c r="T203" s="5"/>
      <c r="U203" s="5"/>
      <c r="V203" s="5"/>
      <c r="W203" s="5"/>
      <c r="X203" s="5"/>
      <c r="Y203" s="5">
        <f>Y22/$D22</f>
        <v>0</v>
      </c>
      <c r="AA203" s="12"/>
      <c r="AB203" s="12"/>
      <c r="AC203" s="12"/>
      <c r="AD203" s="12"/>
      <c r="AE203" s="278">
        <f t="shared" si="28"/>
        <v>-9902741</v>
      </c>
      <c r="AK203" s="25"/>
    </row>
    <row r="204" spans="2:39">
      <c r="B204" s="313"/>
      <c r="C204" s="316"/>
      <c r="D204" s="3">
        <f t="shared" si="30"/>
        <v>1130.9999954563164</v>
      </c>
      <c r="E204" s="5" t="str">
        <f t="shared" si="37"/>
        <v>Offshore fee (Q117)</v>
      </c>
      <c r="F204" s="5">
        <f>F23/$D23</f>
        <v>1679017.1269928582</v>
      </c>
      <c r="G204" s="48">
        <f>ROUND(G23/$D23,0)</f>
        <v>494610</v>
      </c>
      <c r="H204" s="199">
        <v>824649</v>
      </c>
      <c r="I204" s="198">
        <f t="shared" si="41"/>
        <v>844937.10330603621</v>
      </c>
      <c r="J204" s="5">
        <f t="shared" si="41"/>
        <v>0</v>
      </c>
      <c r="K204" s="5">
        <f t="shared" si="40"/>
        <v>0</v>
      </c>
      <c r="L204" s="5">
        <f t="shared" si="40"/>
        <v>0</v>
      </c>
      <c r="M204" s="5"/>
      <c r="N204" s="5"/>
      <c r="O204" s="5"/>
      <c r="P204" s="5">
        <f t="shared" si="39"/>
        <v>74556.180670875066</v>
      </c>
      <c r="Q204" s="5"/>
      <c r="R204" s="5"/>
      <c r="S204" s="5"/>
      <c r="T204" s="5"/>
      <c r="U204" s="5"/>
      <c r="V204" s="5"/>
      <c r="W204" s="5"/>
      <c r="X204" s="5"/>
      <c r="Y204" s="5">
        <f>Y23/$D23</f>
        <v>0</v>
      </c>
      <c r="AA204" s="12"/>
      <c r="AB204" s="12"/>
      <c r="AC204" s="12"/>
      <c r="AD204" s="12"/>
      <c r="AE204" s="278">
        <f t="shared" si="28"/>
        <v>3917769.4109697696</v>
      </c>
      <c r="AH204" s="7"/>
      <c r="AK204" s="25"/>
    </row>
    <row r="205" spans="2:39" ht="14.25" thickBot="1">
      <c r="B205" s="364" t="str">
        <f>B24</f>
        <v>Ilmok Star repaid the loan in May17 :USD 9,880,900 (Sunwood Star cash inflow : 9,880,881.5)</v>
      </c>
      <c r="C205" s="365"/>
      <c r="D205" s="3">
        <f t="shared" si="30"/>
        <v>1130.9999954563164</v>
      </c>
      <c r="E205" s="5" t="str">
        <f t="shared" si="37"/>
        <v>Ilmok star loan repayment</v>
      </c>
      <c r="F205" s="5">
        <f>F24/$D24</f>
        <v>0</v>
      </c>
      <c r="G205" s="48">
        <f>G24/$D24</f>
        <v>0</v>
      </c>
      <c r="H205" s="232">
        <f>H24/$D24</f>
        <v>9880900.2394858394</v>
      </c>
      <c r="I205" s="198">
        <f t="shared" si="41"/>
        <v>0</v>
      </c>
      <c r="J205" s="5">
        <f t="shared" si="41"/>
        <v>0</v>
      </c>
      <c r="K205" s="5">
        <f t="shared" si="40"/>
        <v>0</v>
      </c>
      <c r="L205" s="196">
        <f t="shared" si="40"/>
        <v>0</v>
      </c>
      <c r="M205" s="5"/>
      <c r="N205" s="5"/>
      <c r="O205" s="5"/>
      <c r="P205" s="194">
        <f t="shared" si="39"/>
        <v>-9880900.2394858394</v>
      </c>
      <c r="Q205" s="5"/>
      <c r="R205" s="5"/>
      <c r="S205" s="5"/>
      <c r="T205" s="5"/>
      <c r="U205" s="5"/>
      <c r="V205" s="5"/>
      <c r="W205" s="5"/>
      <c r="X205" s="5"/>
      <c r="Y205" s="5">
        <f>Y24/$D24</f>
        <v>0</v>
      </c>
      <c r="AA205" s="12"/>
      <c r="AB205" s="12"/>
      <c r="AC205" s="12"/>
      <c r="AD205" s="12"/>
      <c r="AE205" s="278">
        <f t="shared" si="28"/>
        <v>0</v>
      </c>
      <c r="AK205" s="25"/>
      <c r="AL205" s="242"/>
    </row>
    <row r="206" spans="2:39">
      <c r="B206" s="366"/>
      <c r="C206" s="367"/>
      <c r="D206" s="3">
        <f t="shared" si="30"/>
        <v>1125</v>
      </c>
      <c r="E206" s="5" t="s">
        <v>22</v>
      </c>
      <c r="F206" s="5"/>
      <c r="G206" s="48"/>
      <c r="H206" s="232">
        <f>H25/$D25</f>
        <v>-4006528</v>
      </c>
      <c r="I206" s="198"/>
      <c r="J206" s="5"/>
      <c r="K206" s="48"/>
      <c r="L206" s="200">
        <f>-H206</f>
        <v>4006528</v>
      </c>
      <c r="M206" s="198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AA206" s="12"/>
      <c r="AB206" s="12"/>
      <c r="AC206" s="12"/>
      <c r="AD206" s="12"/>
      <c r="AE206" s="278">
        <f t="shared" si="28"/>
        <v>0</v>
      </c>
    </row>
    <row r="207" spans="2:39">
      <c r="B207" s="368"/>
      <c r="C207" s="369"/>
      <c r="D207" s="3">
        <f t="shared" si="30"/>
        <v>1125</v>
      </c>
      <c r="E207" s="5" t="s">
        <v>23</v>
      </c>
      <c r="F207" s="5"/>
      <c r="G207" s="5"/>
      <c r="H207" s="201"/>
      <c r="I207" s="5"/>
      <c r="J207" s="5"/>
      <c r="K207" s="48"/>
      <c r="L207" s="202"/>
      <c r="M207" s="198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AA207" s="12"/>
      <c r="AB207" s="12"/>
      <c r="AC207" s="12"/>
      <c r="AD207" s="12"/>
      <c r="AE207" s="278">
        <f t="shared" si="28"/>
        <v>0</v>
      </c>
    </row>
    <row r="208" spans="2:39">
      <c r="B208" s="311" t="s">
        <v>14</v>
      </c>
      <c r="C208" s="314">
        <v>42971</v>
      </c>
      <c r="D208" s="3">
        <f t="shared" si="30"/>
        <v>1125</v>
      </c>
      <c r="E208" s="5" t="str">
        <f>E27</f>
        <v>Project Majang</v>
      </c>
      <c r="F208" s="5">
        <f t="shared" ref="F208:G210" si="42">F27/$D27</f>
        <v>0</v>
      </c>
      <c r="G208" s="5">
        <f t="shared" si="42"/>
        <v>0</v>
      </c>
      <c r="H208" s="145"/>
      <c r="I208" s="5">
        <f>I27/$D27</f>
        <v>0</v>
      </c>
      <c r="J208" s="5">
        <f>J27/$D27</f>
        <v>0</v>
      </c>
      <c r="K208" s="48">
        <f>K27/$D27</f>
        <v>0</v>
      </c>
      <c r="L208" s="202">
        <v>15584554</v>
      </c>
      <c r="M208" s="198">
        <f>M27/$D27</f>
        <v>0</v>
      </c>
      <c r="N208" s="5">
        <f>N27/$D27</f>
        <v>0</v>
      </c>
      <c r="O208" s="5">
        <f>O27/$D27</f>
        <v>0</v>
      </c>
      <c r="P208" s="5">
        <f>P27/$D27</f>
        <v>0</v>
      </c>
      <c r="Q208" s="5"/>
      <c r="R208" s="5"/>
      <c r="S208" s="5"/>
      <c r="T208" s="5"/>
      <c r="U208" s="5"/>
      <c r="V208" s="5"/>
      <c r="W208" s="5"/>
      <c r="X208" s="5"/>
      <c r="Y208" s="203">
        <f>Y27/$D27</f>
        <v>280000</v>
      </c>
      <c r="AA208" s="12"/>
      <c r="AB208" s="12"/>
      <c r="AC208" s="12"/>
      <c r="AD208" s="12"/>
      <c r="AE208" s="278">
        <f t="shared" si="28"/>
        <v>15864554</v>
      </c>
      <c r="AK208" s="25"/>
      <c r="AM208" s="7"/>
    </row>
    <row r="209" spans="2:40">
      <c r="B209" s="312"/>
      <c r="C209" s="315"/>
      <c r="D209" s="3">
        <f t="shared" si="30"/>
        <v>1125</v>
      </c>
      <c r="E209" s="5" t="s">
        <v>57</v>
      </c>
      <c r="F209" s="5">
        <f t="shared" si="42"/>
        <v>0</v>
      </c>
      <c r="G209" s="5">
        <f t="shared" si="42"/>
        <v>0</v>
      </c>
      <c r="H209" s="145">
        <f>H28/$D28</f>
        <v>0</v>
      </c>
      <c r="I209" s="5">
        <f>ROUND(I28/$D28,0)</f>
        <v>444444</v>
      </c>
      <c r="J209" s="5">
        <f>J28/$D28</f>
        <v>0</v>
      </c>
      <c r="K209" s="48">
        <f>K28/$D28</f>
        <v>0</v>
      </c>
      <c r="L209" s="202">
        <f>L28/$D28</f>
        <v>0</v>
      </c>
      <c r="M209" s="198"/>
      <c r="N209" s="5"/>
      <c r="O209" s="5"/>
      <c r="P209" s="5">
        <f>P28/$D28</f>
        <v>0</v>
      </c>
      <c r="Q209" s="5"/>
      <c r="R209" s="5"/>
      <c r="S209" s="5"/>
      <c r="T209" s="5"/>
      <c r="U209" s="5"/>
      <c r="V209" s="5"/>
      <c r="W209" s="5"/>
      <c r="X209" s="5"/>
      <c r="Y209" s="5">
        <f>Y28/$D28</f>
        <v>0</v>
      </c>
      <c r="AA209" s="12"/>
      <c r="AB209" s="12"/>
      <c r="AC209" s="12"/>
      <c r="AD209" s="12"/>
      <c r="AE209" s="278">
        <f t="shared" si="28"/>
        <v>444444</v>
      </c>
      <c r="AK209" s="7"/>
    </row>
    <row r="210" spans="2:40">
      <c r="B210" s="313"/>
      <c r="C210" s="316"/>
      <c r="D210" s="3">
        <f t="shared" si="30"/>
        <v>1125</v>
      </c>
      <c r="E210" s="5" t="s">
        <v>23</v>
      </c>
      <c r="F210" s="5">
        <f t="shared" si="42"/>
        <v>847980</v>
      </c>
      <c r="G210" s="5">
        <f t="shared" si="42"/>
        <v>253777</v>
      </c>
      <c r="H210" s="145">
        <v>437043</v>
      </c>
      <c r="I210" s="5">
        <f>ROUND(I29/$D29,0)</f>
        <v>317523</v>
      </c>
      <c r="J210" s="5">
        <f>J29/$D29</f>
        <v>0</v>
      </c>
      <c r="K210" s="48">
        <f>K29/$D29</f>
        <v>0</v>
      </c>
      <c r="L210" s="233">
        <f>-H210</f>
        <v>-437043</v>
      </c>
      <c r="M210" s="198"/>
      <c r="N210" s="5"/>
      <c r="O210" s="5"/>
      <c r="P210" s="5">
        <f>P29/$D29</f>
        <v>12774</v>
      </c>
      <c r="Q210" s="5"/>
      <c r="R210" s="5"/>
      <c r="S210" s="5"/>
      <c r="T210" s="5"/>
      <c r="U210" s="5"/>
      <c r="V210" s="5"/>
      <c r="W210" s="5"/>
      <c r="X210" s="5"/>
      <c r="Y210" s="5">
        <f>Y29/$D29</f>
        <v>0</v>
      </c>
      <c r="AA210" s="12"/>
      <c r="AB210" s="12"/>
      <c r="AC210" s="12"/>
      <c r="AD210" s="12"/>
      <c r="AE210" s="278">
        <f t="shared" si="28"/>
        <v>1432054</v>
      </c>
    </row>
    <row r="211" spans="2:40">
      <c r="B211" s="260"/>
      <c r="C211" s="261">
        <v>43005</v>
      </c>
      <c r="D211" s="30"/>
      <c r="E211" s="28" t="s">
        <v>71</v>
      </c>
      <c r="F211" s="28"/>
      <c r="G211" s="28"/>
      <c r="H211" s="28"/>
      <c r="I211" s="28"/>
      <c r="J211" s="28"/>
      <c r="K211" s="262"/>
      <c r="L211" s="263"/>
      <c r="M211" s="264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>
        <f>ROUND(Y30/D30,0)</f>
        <v>-264294</v>
      </c>
      <c r="AA211" s="12"/>
      <c r="AB211" s="12"/>
      <c r="AC211" s="12"/>
      <c r="AD211" s="12"/>
      <c r="AE211" s="278">
        <f t="shared" si="28"/>
        <v>-264294</v>
      </c>
    </row>
    <row r="212" spans="2:40">
      <c r="B212" s="311" t="s">
        <v>49</v>
      </c>
      <c r="C212" s="343">
        <f>C31</f>
        <v>43018</v>
      </c>
      <c r="D212" s="3">
        <f>D31</f>
        <v>1130</v>
      </c>
      <c r="E212" s="20" t="str">
        <f>E31</f>
        <v>Project Sanha</v>
      </c>
      <c r="F212" s="5">
        <f t="shared" ref="F212:P212" si="43">F31/$D31</f>
        <v>0</v>
      </c>
      <c r="G212" s="5">
        <f t="shared" si="43"/>
        <v>0</v>
      </c>
      <c r="H212" s="5">
        <f t="shared" si="43"/>
        <v>0</v>
      </c>
      <c r="I212" s="5">
        <f t="shared" si="43"/>
        <v>0</v>
      </c>
      <c r="J212" s="5">
        <f t="shared" si="43"/>
        <v>0</v>
      </c>
      <c r="K212" s="5">
        <f t="shared" si="43"/>
        <v>0</v>
      </c>
      <c r="L212" s="204">
        <f t="shared" si="43"/>
        <v>0</v>
      </c>
      <c r="M212" s="5">
        <f t="shared" si="43"/>
        <v>6995575.2212389382</v>
      </c>
      <c r="N212" s="5">
        <f t="shared" si="43"/>
        <v>0</v>
      </c>
      <c r="O212" s="5">
        <f t="shared" si="43"/>
        <v>0</v>
      </c>
      <c r="P212" s="5">
        <f t="shared" si="43"/>
        <v>0</v>
      </c>
      <c r="Q212" s="5"/>
      <c r="R212" s="5"/>
      <c r="S212" s="5"/>
      <c r="T212" s="5"/>
      <c r="U212" s="5"/>
      <c r="V212" s="5"/>
      <c r="W212" s="5"/>
      <c r="X212" s="5"/>
      <c r="Y212" s="203">
        <f>Y31/$D31</f>
        <v>230088.49557522123</v>
      </c>
      <c r="AA212" s="12"/>
      <c r="AB212" s="12"/>
      <c r="AC212" s="12"/>
      <c r="AD212" s="12"/>
      <c r="AE212" s="278">
        <f t="shared" si="28"/>
        <v>7225663.7168141594</v>
      </c>
      <c r="AF212" s="45">
        <f>SUM(AE212:AE213)</f>
        <v>6961183.420596228</v>
      </c>
      <c r="AH212" s="7"/>
      <c r="AK212" s="7"/>
    </row>
    <row r="213" spans="2:40">
      <c r="B213" s="313"/>
      <c r="C213" s="345"/>
      <c r="D213" s="3">
        <f t="shared" ref="D213:E215" si="44">D32</f>
        <v>1134.3</v>
      </c>
      <c r="E213" s="20" t="str">
        <f t="shared" si="44"/>
        <v>Ilmok networks investment (Sanha)</v>
      </c>
      <c r="F213" s="5">
        <f t="shared" ref="F213:P213" si="45">F32/$D32</f>
        <v>0</v>
      </c>
      <c r="G213" s="5">
        <f t="shared" si="45"/>
        <v>0</v>
      </c>
      <c r="H213" s="5">
        <f t="shared" si="45"/>
        <v>0</v>
      </c>
      <c r="I213" s="5">
        <f t="shared" si="45"/>
        <v>0</v>
      </c>
      <c r="J213" s="5">
        <f t="shared" si="45"/>
        <v>0</v>
      </c>
      <c r="K213" s="5">
        <f t="shared" si="45"/>
        <v>0</v>
      </c>
      <c r="L213" s="5">
        <f t="shared" si="45"/>
        <v>0</v>
      </c>
      <c r="M213" s="5">
        <f t="shared" si="45"/>
        <v>0</v>
      </c>
      <c r="N213" s="5">
        <f t="shared" si="45"/>
        <v>0</v>
      </c>
      <c r="O213" s="5">
        <f t="shared" si="45"/>
        <v>0</v>
      </c>
      <c r="P213" s="5">
        <f t="shared" si="45"/>
        <v>0</v>
      </c>
      <c r="Q213" s="5"/>
      <c r="R213" s="5"/>
      <c r="S213" s="5"/>
      <c r="T213" s="5"/>
      <c r="U213" s="5"/>
      <c r="V213" s="5"/>
      <c r="W213" s="5"/>
      <c r="X213" s="5"/>
      <c r="Y213" s="203">
        <f>Y32/$D32</f>
        <v>-264480.29621793178</v>
      </c>
      <c r="AA213" s="12"/>
      <c r="AB213" s="12"/>
      <c r="AC213" s="12"/>
      <c r="AD213" s="12"/>
      <c r="AE213" s="278">
        <f t="shared" si="28"/>
        <v>-264480.29621793178</v>
      </c>
      <c r="AK213" s="7"/>
    </row>
    <row r="214" spans="2:40">
      <c r="B214" s="311" t="str">
        <f>B33</f>
        <v>Capital Call 17</v>
      </c>
      <c r="C214" s="343">
        <f>C33</f>
        <v>43041</v>
      </c>
      <c r="D214" s="3">
        <f t="shared" si="44"/>
        <v>1129</v>
      </c>
      <c r="E214" s="21" t="str">
        <f t="shared" si="44"/>
        <v>Project Gimpo</v>
      </c>
      <c r="F214" s="5">
        <f t="shared" ref="F214:N214" si="46">F33/$D33</f>
        <v>0</v>
      </c>
      <c r="G214" s="5">
        <f t="shared" si="46"/>
        <v>0</v>
      </c>
      <c r="H214" s="5">
        <f t="shared" si="46"/>
        <v>0</v>
      </c>
      <c r="I214" s="5">
        <f t="shared" si="46"/>
        <v>0</v>
      </c>
      <c r="J214" s="5">
        <f t="shared" si="46"/>
        <v>0</v>
      </c>
      <c r="K214" s="5">
        <f t="shared" si="46"/>
        <v>0</v>
      </c>
      <c r="L214" s="5">
        <f t="shared" si="46"/>
        <v>0</v>
      </c>
      <c r="M214" s="5">
        <f t="shared" si="46"/>
        <v>0</v>
      </c>
      <c r="N214" s="5">
        <f t="shared" si="46"/>
        <v>11439991.142604074</v>
      </c>
      <c r="O214" s="5"/>
      <c r="P214" s="5">
        <f>P33/$D33</f>
        <v>0</v>
      </c>
      <c r="Q214" s="5"/>
      <c r="R214" s="5"/>
      <c r="S214" s="5"/>
      <c r="T214" s="5"/>
      <c r="U214" s="5"/>
      <c r="V214" s="5"/>
      <c r="W214" s="5"/>
      <c r="X214" s="5"/>
      <c r="Y214" s="5">
        <f>Y33/$D33</f>
        <v>279007.97165633301</v>
      </c>
      <c r="AA214" s="12"/>
      <c r="AB214" s="12"/>
      <c r="AC214" s="12"/>
      <c r="AD214" s="12"/>
      <c r="AE214" s="278">
        <f t="shared" si="28"/>
        <v>11718999.114260407</v>
      </c>
      <c r="AF214" s="45">
        <f>SUM(AE214:AE215)</f>
        <v>11718999.114260407</v>
      </c>
      <c r="AK214" s="7"/>
    </row>
    <row r="215" spans="2:40">
      <c r="B215" s="313"/>
      <c r="C215" s="345"/>
      <c r="D215" s="3">
        <f t="shared" si="44"/>
        <v>0</v>
      </c>
      <c r="E215" s="21" t="str">
        <f t="shared" si="44"/>
        <v>Ilmok networks investment (Gimpo)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AA215" s="12"/>
      <c r="AB215" s="12"/>
      <c r="AC215" s="12"/>
      <c r="AD215" s="12"/>
      <c r="AE215" s="278">
        <f t="shared" si="28"/>
        <v>0</v>
      </c>
    </row>
    <row r="216" spans="2:40">
      <c r="B216" s="1" t="s">
        <v>62</v>
      </c>
      <c r="C216" s="19">
        <v>43047</v>
      </c>
      <c r="D216" s="3">
        <v>1115</v>
      </c>
      <c r="E216" s="21" t="s">
        <v>63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AA216" s="12">
        <f>3677130</f>
        <v>3677130</v>
      </c>
      <c r="AB216" s="12"/>
      <c r="AC216" s="12"/>
      <c r="AD216" s="12"/>
      <c r="AE216" s="278">
        <f t="shared" si="28"/>
        <v>0</v>
      </c>
      <c r="AK216" s="7"/>
    </row>
    <row r="217" spans="2:40">
      <c r="B217" s="1" t="s">
        <v>64</v>
      </c>
      <c r="C217" s="19">
        <v>43062</v>
      </c>
      <c r="D217" s="3">
        <v>1086</v>
      </c>
      <c r="E217" s="21" t="s">
        <v>65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AA217" s="12"/>
      <c r="AB217" s="12">
        <f>2328767</f>
        <v>2328767</v>
      </c>
      <c r="AC217" s="12"/>
      <c r="AD217" s="12"/>
      <c r="AE217" s="278">
        <f t="shared" si="28"/>
        <v>0</v>
      </c>
    </row>
    <row r="218" spans="2:40">
      <c r="B218" s="311" t="str">
        <f>B37</f>
        <v>Capital Call 18</v>
      </c>
      <c r="C218" s="19">
        <f>C37</f>
        <v>43068</v>
      </c>
      <c r="D218" s="10">
        <f>D37</f>
        <v>1095</v>
      </c>
      <c r="E218" s="21" t="str">
        <f>E37</f>
        <v>Project Opo</v>
      </c>
      <c r="F218" s="5">
        <f t="shared" ref="F218:P218" si="47">F37/$D37</f>
        <v>0</v>
      </c>
      <c r="G218" s="5">
        <f t="shared" si="47"/>
        <v>0</v>
      </c>
      <c r="H218" s="5">
        <f t="shared" si="47"/>
        <v>0</v>
      </c>
      <c r="I218" s="5">
        <f t="shared" si="47"/>
        <v>0</v>
      </c>
      <c r="J218" s="5">
        <f t="shared" si="47"/>
        <v>0</v>
      </c>
      <c r="K218" s="5">
        <f t="shared" si="47"/>
        <v>0</v>
      </c>
      <c r="L218" s="5">
        <f t="shared" si="47"/>
        <v>0</v>
      </c>
      <c r="M218" s="5">
        <f t="shared" si="47"/>
        <v>0</v>
      </c>
      <c r="N218" s="5">
        <f t="shared" si="47"/>
        <v>0</v>
      </c>
      <c r="O218" s="5">
        <f t="shared" si="47"/>
        <v>37025515.772602737</v>
      </c>
      <c r="P218" s="5">
        <f t="shared" si="47"/>
        <v>0</v>
      </c>
      <c r="Q218" s="5"/>
      <c r="R218" s="5"/>
      <c r="S218" s="5"/>
      <c r="T218" s="5"/>
      <c r="U218" s="5"/>
      <c r="V218" s="5"/>
      <c r="W218" s="5"/>
      <c r="X218" s="5"/>
      <c r="Y218" s="5">
        <f>Y37/$D37</f>
        <v>146118.7214611872</v>
      </c>
      <c r="AA218" s="12"/>
      <c r="AB218" s="12"/>
      <c r="AC218" s="12"/>
      <c r="AD218" s="12"/>
      <c r="AE218" s="278">
        <f t="shared" si="28"/>
        <v>37171634.494063921</v>
      </c>
      <c r="AF218" s="45">
        <f>SUM(AE218:AE219)</f>
        <v>39412188.494063921</v>
      </c>
    </row>
    <row r="219" spans="2:40">
      <c r="B219" s="313"/>
      <c r="C219" s="19">
        <f t="shared" ref="C219:E220" si="48">C38</f>
        <v>43068</v>
      </c>
      <c r="D219" s="10">
        <f t="shared" si="48"/>
        <v>1095</v>
      </c>
      <c r="E219" s="21" t="str">
        <f t="shared" si="48"/>
        <v>Offshore fee (Q317)</v>
      </c>
      <c r="F219" s="5">
        <f>F38/$D38</f>
        <v>772171</v>
      </c>
      <c r="G219" s="5">
        <f>G38/$D38</f>
        <v>256940</v>
      </c>
      <c r="H219" s="5">
        <f>H38/$D38</f>
        <v>460487</v>
      </c>
      <c r="I219" s="5">
        <f>ROUND(I38/$D38,0)</f>
        <v>218649</v>
      </c>
      <c r="J219" s="5">
        <f>J38/$D38</f>
        <v>293464</v>
      </c>
      <c r="K219" s="5">
        <v>237846</v>
      </c>
      <c r="L219" s="5">
        <f>L38/$D38</f>
        <v>0</v>
      </c>
      <c r="M219" s="5">
        <f>M38/$D38</f>
        <v>0</v>
      </c>
      <c r="N219" s="5">
        <f>N38/$D38</f>
        <v>0</v>
      </c>
      <c r="O219" s="5">
        <f>O38/$D38</f>
        <v>0</v>
      </c>
      <c r="P219" s="5">
        <f>P38/$D38</f>
        <v>997</v>
      </c>
      <c r="Q219" s="5"/>
      <c r="R219" s="5"/>
      <c r="S219" s="5"/>
      <c r="T219" s="5"/>
      <c r="U219" s="5"/>
      <c r="V219" s="5"/>
      <c r="W219" s="5"/>
      <c r="X219" s="5"/>
      <c r="Y219" s="5">
        <f>Y38/$D38</f>
        <v>0</v>
      </c>
      <c r="AA219" s="12"/>
      <c r="AB219" s="12"/>
      <c r="AC219" s="12"/>
      <c r="AD219" s="12"/>
      <c r="AE219" s="278">
        <f t="shared" si="28"/>
        <v>2240554</v>
      </c>
    </row>
    <row r="220" spans="2:40">
      <c r="B220" s="311" t="str">
        <f>B39</f>
        <v>Core #3</v>
      </c>
      <c r="C220" s="343">
        <f t="shared" si="48"/>
        <v>43074</v>
      </c>
      <c r="D220" s="10">
        <f t="shared" si="48"/>
        <v>1087</v>
      </c>
      <c r="E220" s="21" t="str">
        <f t="shared" si="48"/>
        <v xml:space="preserve">NHN&amp;DSL 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AA220" s="33">
        <f>ROUND(AA39/$D39,0)</f>
        <v>303588</v>
      </c>
      <c r="AB220" s="33">
        <f>ROUND(AB39/$D39,0)</f>
        <v>211592</v>
      </c>
      <c r="AC220" s="12">
        <f>ROUND(AC39/$D39,0)</f>
        <v>0</v>
      </c>
      <c r="AD220" s="12">
        <f>ROUND(AD39/$D39,0)</f>
        <v>0</v>
      </c>
      <c r="AE220" s="278">
        <f t="shared" si="28"/>
        <v>0</v>
      </c>
    </row>
    <row r="221" spans="2:40">
      <c r="B221" s="313"/>
      <c r="C221" s="345"/>
      <c r="D221" s="10"/>
      <c r="E221" s="21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AA221" s="12"/>
      <c r="AB221" s="12"/>
      <c r="AC221" s="12"/>
      <c r="AD221" s="12"/>
      <c r="AE221" s="278">
        <f t="shared" si="28"/>
        <v>0</v>
      </c>
    </row>
    <row r="222" spans="2:40">
      <c r="B222" s="18" t="str">
        <f t="shared" ref="B222:E224" si="49">B40</f>
        <v>Capital Call 19</v>
      </c>
      <c r="C222" s="19">
        <f t="shared" si="49"/>
        <v>43075</v>
      </c>
      <c r="D222" s="10">
        <f t="shared" si="49"/>
        <v>1087</v>
      </c>
      <c r="E222" s="21" t="str">
        <f t="shared" si="49"/>
        <v>Project Gimpo</v>
      </c>
      <c r="F222" s="5">
        <f t="shared" ref="F222:P222" si="50">F40/$D40</f>
        <v>0</v>
      </c>
      <c r="G222" s="5">
        <f t="shared" si="50"/>
        <v>0</v>
      </c>
      <c r="H222" s="5">
        <f t="shared" si="50"/>
        <v>0</v>
      </c>
      <c r="I222" s="5">
        <f t="shared" si="50"/>
        <v>0</v>
      </c>
      <c r="J222" s="5">
        <f t="shared" si="50"/>
        <v>0</v>
      </c>
      <c r="K222" s="5">
        <f t="shared" si="50"/>
        <v>0</v>
      </c>
      <c r="L222" s="5">
        <f t="shared" si="50"/>
        <v>0</v>
      </c>
      <c r="M222" s="5">
        <f t="shared" si="50"/>
        <v>0</v>
      </c>
      <c r="N222" s="5">
        <f t="shared" si="50"/>
        <v>60073597.056117758</v>
      </c>
      <c r="O222" s="5">
        <f t="shared" si="50"/>
        <v>0</v>
      </c>
      <c r="P222" s="5">
        <f t="shared" si="50"/>
        <v>0</v>
      </c>
      <c r="Q222" s="5"/>
      <c r="R222" s="5"/>
      <c r="S222" s="5"/>
      <c r="T222" s="5"/>
      <c r="U222" s="5"/>
      <c r="V222" s="5"/>
      <c r="W222" s="5"/>
      <c r="X222" s="5"/>
      <c r="Y222" s="5">
        <f t="shared" ref="Y222:Y229" si="51">Y40/$D40</f>
        <v>0</v>
      </c>
      <c r="AA222" s="12"/>
      <c r="AB222" s="12"/>
      <c r="AC222" s="12"/>
      <c r="AD222" s="12"/>
      <c r="AE222" s="278">
        <f t="shared" si="28"/>
        <v>60073597.056117758</v>
      </c>
      <c r="AK222" s="244"/>
    </row>
    <row r="223" spans="2:40">
      <c r="B223" s="18" t="str">
        <f t="shared" si="49"/>
        <v>Core #4</v>
      </c>
      <c r="C223" s="19">
        <f t="shared" si="49"/>
        <v>43095</v>
      </c>
      <c r="D223" s="10">
        <f t="shared" si="49"/>
        <v>1082.5</v>
      </c>
      <c r="E223" s="21" t="str">
        <f t="shared" si="49"/>
        <v>Mokcheon</v>
      </c>
      <c r="F223" s="5">
        <f t="shared" ref="F223:P223" si="52">F41/$D41</f>
        <v>0</v>
      </c>
      <c r="G223" s="5">
        <f t="shared" si="52"/>
        <v>0</v>
      </c>
      <c r="H223" s="5">
        <f t="shared" si="52"/>
        <v>0</v>
      </c>
      <c r="I223" s="5">
        <f t="shared" si="52"/>
        <v>0</v>
      </c>
      <c r="J223" s="5">
        <f t="shared" si="52"/>
        <v>0</v>
      </c>
      <c r="K223" s="5">
        <f t="shared" si="52"/>
        <v>0</v>
      </c>
      <c r="L223" s="5">
        <f t="shared" si="52"/>
        <v>0</v>
      </c>
      <c r="M223" s="5">
        <f t="shared" si="52"/>
        <v>0</v>
      </c>
      <c r="N223" s="5">
        <f t="shared" si="52"/>
        <v>0</v>
      </c>
      <c r="O223" s="5">
        <f t="shared" si="52"/>
        <v>0</v>
      </c>
      <c r="P223" s="5">
        <f t="shared" si="52"/>
        <v>0</v>
      </c>
      <c r="Q223" s="5"/>
      <c r="R223" s="5"/>
      <c r="S223" s="5"/>
      <c r="T223" s="5"/>
      <c r="U223" s="5"/>
      <c r="V223" s="5"/>
      <c r="W223" s="5"/>
      <c r="X223" s="5"/>
      <c r="Y223" s="5">
        <f t="shared" si="51"/>
        <v>0</v>
      </c>
      <c r="AA223" s="12"/>
      <c r="AB223" s="12"/>
      <c r="AC223" s="12">
        <v>2448037</v>
      </c>
      <c r="AD223" s="12"/>
      <c r="AE223" s="278">
        <f t="shared" si="28"/>
        <v>0</v>
      </c>
    </row>
    <row r="224" spans="2:40">
      <c r="B224" s="18" t="str">
        <f t="shared" si="49"/>
        <v>Core #5</v>
      </c>
      <c r="C224" s="19">
        <f t="shared" si="49"/>
        <v>43098</v>
      </c>
      <c r="D224" s="10">
        <f t="shared" si="49"/>
        <v>1082.5</v>
      </c>
      <c r="E224" s="21" t="str">
        <f t="shared" si="49"/>
        <v>Jungan</v>
      </c>
      <c r="F224" s="5">
        <f t="shared" ref="F224:P224" si="53">F42/$D42</f>
        <v>0</v>
      </c>
      <c r="G224" s="5">
        <f t="shared" si="53"/>
        <v>0</v>
      </c>
      <c r="H224" s="5">
        <f t="shared" si="53"/>
        <v>0</v>
      </c>
      <c r="I224" s="5">
        <f t="shared" si="53"/>
        <v>0</v>
      </c>
      <c r="J224" s="5">
        <f t="shared" si="53"/>
        <v>0</v>
      </c>
      <c r="K224" s="5">
        <f t="shared" si="53"/>
        <v>0</v>
      </c>
      <c r="L224" s="5">
        <f t="shared" si="53"/>
        <v>0</v>
      </c>
      <c r="M224" s="5">
        <f t="shared" si="53"/>
        <v>0</v>
      </c>
      <c r="N224" s="5">
        <f t="shared" si="53"/>
        <v>0</v>
      </c>
      <c r="O224" s="5">
        <f t="shared" si="53"/>
        <v>0</v>
      </c>
      <c r="P224" s="5">
        <f t="shared" si="53"/>
        <v>0</v>
      </c>
      <c r="Q224" s="5"/>
      <c r="R224" s="5"/>
      <c r="S224" s="5"/>
      <c r="T224" s="5"/>
      <c r="U224" s="5"/>
      <c r="V224" s="5"/>
      <c r="W224" s="5"/>
      <c r="X224" s="5"/>
      <c r="Y224" s="5">
        <f t="shared" si="51"/>
        <v>0</v>
      </c>
      <c r="AA224" s="12"/>
      <c r="AB224" s="12"/>
      <c r="AC224" s="12"/>
      <c r="AD224" s="12">
        <v>3796297</v>
      </c>
      <c r="AE224" s="278">
        <f t="shared" si="28"/>
        <v>0</v>
      </c>
      <c r="AJ224" s="6" t="s">
        <v>349</v>
      </c>
      <c r="AK224" s="25">
        <v>856539591</v>
      </c>
      <c r="AL224" s="243">
        <f>AK225-AK224</f>
        <v>16960577</v>
      </c>
      <c r="AM224" s="25">
        <v>6631400</v>
      </c>
      <c r="AN224" s="6" t="s">
        <v>353</v>
      </c>
    </row>
    <row r="225" spans="2:42">
      <c r="B225" s="18" t="str">
        <f>B43</f>
        <v>Capital Call 20</v>
      </c>
      <c r="C225" s="32">
        <v>43102</v>
      </c>
      <c r="D225" s="10">
        <f t="shared" ref="D225:E229" si="54">D43</f>
        <v>1089</v>
      </c>
      <c r="E225" s="21" t="str">
        <f t="shared" si="54"/>
        <v>Project Juksan</v>
      </c>
      <c r="F225" s="5">
        <f t="shared" ref="F225:H229" si="55">F43/$D43</f>
        <v>0</v>
      </c>
      <c r="G225" s="5">
        <f t="shared" si="55"/>
        <v>0</v>
      </c>
      <c r="H225" s="5">
        <f t="shared" si="55"/>
        <v>0</v>
      </c>
      <c r="I225" s="5">
        <f>ROUND(I43/$D43,0)</f>
        <v>2255460</v>
      </c>
      <c r="J225" s="5">
        <f t="shared" ref="J225:P226" si="56">J43/$D43</f>
        <v>0</v>
      </c>
      <c r="K225" s="5">
        <f t="shared" si="56"/>
        <v>0</v>
      </c>
      <c r="L225" s="5">
        <f t="shared" si="56"/>
        <v>0</v>
      </c>
      <c r="M225" s="5">
        <f t="shared" si="56"/>
        <v>0</v>
      </c>
      <c r="N225" s="5">
        <f t="shared" si="56"/>
        <v>0</v>
      </c>
      <c r="O225" s="5">
        <f t="shared" si="56"/>
        <v>0</v>
      </c>
      <c r="P225" s="5">
        <f t="shared" si="56"/>
        <v>0</v>
      </c>
      <c r="Q225" s="5"/>
      <c r="R225" s="5"/>
      <c r="S225" s="5"/>
      <c r="T225" s="5"/>
      <c r="U225" s="5"/>
      <c r="V225" s="5"/>
      <c r="W225" s="5"/>
      <c r="X225" s="5"/>
      <c r="Y225" s="5">
        <f t="shared" si="51"/>
        <v>0</v>
      </c>
      <c r="AA225" s="12"/>
      <c r="AB225" s="12"/>
      <c r="AC225" s="12"/>
      <c r="AD225" s="12"/>
      <c r="AE225" s="278">
        <f t="shared" si="28"/>
        <v>2255460</v>
      </c>
      <c r="AJ225" s="6" t="s">
        <v>350</v>
      </c>
      <c r="AK225" s="25">
        <v>873500168</v>
      </c>
      <c r="AM225" s="25">
        <v>11177417</v>
      </c>
      <c r="AN225" s="6" t="s">
        <v>354</v>
      </c>
    </row>
    <row r="226" spans="2:42">
      <c r="B226" s="18" t="str">
        <f>B44</f>
        <v>Capital Call 21</v>
      </c>
      <c r="C226" s="32">
        <v>43119</v>
      </c>
      <c r="D226" s="10">
        <f t="shared" si="54"/>
        <v>1066</v>
      </c>
      <c r="E226" s="21" t="str">
        <f t="shared" si="54"/>
        <v>Project Sanha</v>
      </c>
      <c r="F226" s="5">
        <f t="shared" si="55"/>
        <v>0</v>
      </c>
      <c r="G226" s="5">
        <f t="shared" si="55"/>
        <v>0</v>
      </c>
      <c r="H226" s="5">
        <f t="shared" si="55"/>
        <v>0</v>
      </c>
      <c r="I226" s="5">
        <f>I44/$D44</f>
        <v>0</v>
      </c>
      <c r="J226" s="5">
        <f t="shared" si="56"/>
        <v>0</v>
      </c>
      <c r="K226" s="5">
        <f t="shared" si="56"/>
        <v>0</v>
      </c>
      <c r="L226" s="5">
        <f t="shared" si="56"/>
        <v>0</v>
      </c>
      <c r="M226" s="5">
        <f t="shared" si="56"/>
        <v>7007053.8283302067</v>
      </c>
      <c r="N226" s="5">
        <f t="shared" si="56"/>
        <v>0</v>
      </c>
      <c r="O226" s="5">
        <f t="shared" si="56"/>
        <v>0</v>
      </c>
      <c r="P226" s="5">
        <f t="shared" si="56"/>
        <v>0</v>
      </c>
      <c r="Q226" s="5"/>
      <c r="R226" s="5"/>
      <c r="S226" s="5"/>
      <c r="T226" s="5"/>
      <c r="U226" s="5"/>
      <c r="V226" s="5"/>
      <c r="W226" s="5"/>
      <c r="X226" s="5"/>
      <c r="Y226" s="5">
        <f t="shared" si="51"/>
        <v>0</v>
      </c>
      <c r="AA226" s="12"/>
      <c r="AB226" s="12"/>
      <c r="AC226" s="12"/>
      <c r="AD226" s="12"/>
      <c r="AE226" s="278">
        <f t="shared" si="28"/>
        <v>7007053.8283302067</v>
      </c>
      <c r="AP226" s="25"/>
    </row>
    <row r="227" spans="2:42">
      <c r="B227" s="311" t="str">
        <f>B45</f>
        <v>Capital Call 22</v>
      </c>
      <c r="C227" s="343">
        <f>C45</f>
        <v>43140</v>
      </c>
      <c r="D227" s="10">
        <f t="shared" si="54"/>
        <v>1067</v>
      </c>
      <c r="E227" s="21" t="str">
        <f t="shared" si="54"/>
        <v>Project Majang</v>
      </c>
      <c r="F227" s="5">
        <f t="shared" si="55"/>
        <v>0</v>
      </c>
      <c r="G227" s="5">
        <f t="shared" si="55"/>
        <v>0</v>
      </c>
      <c r="H227" s="5">
        <f t="shared" si="55"/>
        <v>0</v>
      </c>
      <c r="I227" s="5">
        <f>I45/$D45</f>
        <v>0</v>
      </c>
      <c r="J227" s="5">
        <f>J45/$D45</f>
        <v>0</v>
      </c>
      <c r="K227" s="5">
        <f>K45/$D45</f>
        <v>0</v>
      </c>
      <c r="L227" s="5">
        <v>957339</v>
      </c>
      <c r="M227" s="5">
        <f>M45/$D45</f>
        <v>0</v>
      </c>
      <c r="N227" s="5">
        <f>N45/$D45</f>
        <v>0</v>
      </c>
      <c r="O227" s="5">
        <f>O45/$D45</f>
        <v>0</v>
      </c>
      <c r="P227" s="5">
        <f>P45/$D45</f>
        <v>0</v>
      </c>
      <c r="Q227" s="5"/>
      <c r="R227" s="5"/>
      <c r="S227" s="5"/>
      <c r="T227" s="5"/>
      <c r="U227" s="5"/>
      <c r="V227" s="5"/>
      <c r="W227" s="5"/>
      <c r="X227" s="5"/>
      <c r="Y227" s="5">
        <f t="shared" si="51"/>
        <v>0</v>
      </c>
      <c r="AA227" s="12"/>
      <c r="AB227" s="12"/>
      <c r="AC227" s="12"/>
      <c r="AD227" s="12"/>
      <c r="AE227" s="278">
        <f t="shared" si="28"/>
        <v>957339</v>
      </c>
      <c r="AF227" s="45">
        <f>SUM(AE227:AE230)</f>
        <v>12833778</v>
      </c>
      <c r="AM227" s="7">
        <v>6631400</v>
      </c>
      <c r="AN227" s="6" t="s">
        <v>348</v>
      </c>
      <c r="AP227" s="25"/>
    </row>
    <row r="228" spans="2:42">
      <c r="B228" s="312"/>
      <c r="C228" s="344"/>
      <c r="D228" s="10">
        <f t="shared" si="54"/>
        <v>1067</v>
      </c>
      <c r="E228" s="21" t="str">
        <f t="shared" si="54"/>
        <v>Project Opo</v>
      </c>
      <c r="F228" s="5">
        <f t="shared" si="55"/>
        <v>0</v>
      </c>
      <c r="G228" s="5">
        <f t="shared" si="55"/>
        <v>0</v>
      </c>
      <c r="H228" s="5">
        <f t="shared" si="55"/>
        <v>0</v>
      </c>
      <c r="I228" s="5">
        <f>I46/$D46</f>
        <v>0</v>
      </c>
      <c r="J228" s="5">
        <f>J46/$D46</f>
        <v>0</v>
      </c>
      <c r="K228" s="5">
        <f>K46/$D46</f>
        <v>0</v>
      </c>
      <c r="L228" s="5">
        <f t="shared" ref="L228:N229" si="57">L46/$D46</f>
        <v>0</v>
      </c>
      <c r="M228" s="5">
        <f t="shared" si="57"/>
        <v>0</v>
      </c>
      <c r="N228" s="5">
        <f t="shared" si="57"/>
        <v>0</v>
      </c>
      <c r="O228" s="5">
        <v>9625865</v>
      </c>
      <c r="P228" s="5">
        <f>P46/$D46</f>
        <v>0</v>
      </c>
      <c r="Q228" s="5"/>
      <c r="R228" s="5"/>
      <c r="S228" s="5"/>
      <c r="T228" s="5"/>
      <c r="U228" s="5"/>
      <c r="V228" s="5"/>
      <c r="W228" s="5"/>
      <c r="X228" s="5"/>
      <c r="Y228" s="5">
        <f t="shared" si="51"/>
        <v>0</v>
      </c>
      <c r="AA228" s="12"/>
      <c r="AB228" s="12"/>
      <c r="AC228" s="12"/>
      <c r="AD228" s="12"/>
      <c r="AE228" s="278">
        <f t="shared" si="28"/>
        <v>9625865</v>
      </c>
      <c r="AM228" s="25">
        <v>7248448</v>
      </c>
      <c r="AN228" s="6" t="s">
        <v>352</v>
      </c>
    </row>
    <row r="229" spans="2:42">
      <c r="B229" s="312"/>
      <c r="C229" s="344"/>
      <c r="D229" s="10">
        <f t="shared" si="54"/>
        <v>1067</v>
      </c>
      <c r="E229" s="21" t="str">
        <f t="shared" si="54"/>
        <v>Offshore fee (Q417)</v>
      </c>
      <c r="F229" s="5">
        <f t="shared" si="55"/>
        <v>892418</v>
      </c>
      <c r="G229" s="5">
        <f t="shared" si="55"/>
        <v>134851</v>
      </c>
      <c r="H229" s="5">
        <f t="shared" si="55"/>
        <v>476206</v>
      </c>
      <c r="I229" s="5">
        <f>ROUND(I47/$D47,0)</f>
        <v>230478</v>
      </c>
      <c r="J229" s="5">
        <f>J47/$D47+1018</f>
        <v>406339</v>
      </c>
      <c r="K229" s="5">
        <f>ROUND(K47/$D47,0)</f>
        <v>110282</v>
      </c>
      <c r="L229" s="5">
        <f t="shared" si="57"/>
        <v>0</v>
      </c>
      <c r="M229" s="5">
        <f t="shared" si="57"/>
        <v>0</v>
      </c>
      <c r="N229" s="5">
        <f t="shared" si="57"/>
        <v>0</v>
      </c>
      <c r="O229" s="5">
        <f>O47/$D47</f>
        <v>0</v>
      </c>
      <c r="P229" s="5"/>
      <c r="Q229" s="5"/>
      <c r="R229" s="5"/>
      <c r="S229" s="5"/>
      <c r="T229" s="5"/>
      <c r="U229" s="5"/>
      <c r="V229" s="5"/>
      <c r="W229" s="5"/>
      <c r="X229" s="5"/>
      <c r="Y229" s="5">
        <f t="shared" si="51"/>
        <v>0</v>
      </c>
      <c r="AA229" s="12"/>
      <c r="AB229" s="12"/>
      <c r="AC229" s="12"/>
      <c r="AD229" s="12"/>
      <c r="AE229" s="278">
        <f t="shared" si="28"/>
        <v>2250574</v>
      </c>
      <c r="AJ229" s="6" t="s">
        <v>347</v>
      </c>
      <c r="AK229" s="25">
        <v>849188670</v>
      </c>
      <c r="AM229" s="25">
        <v>2500000</v>
      </c>
      <c r="AN229" s="6" t="s">
        <v>351</v>
      </c>
    </row>
    <row r="230" spans="2:42">
      <c r="B230" s="313"/>
      <c r="C230" s="345"/>
      <c r="D230" s="10"/>
      <c r="E230" s="21" t="s">
        <v>99</v>
      </c>
      <c r="F230" s="5"/>
      <c r="G230" s="5"/>
      <c r="H230" s="5"/>
      <c r="I230" s="5"/>
      <c r="J230" s="230">
        <v>-1018</v>
      </c>
      <c r="K230" s="5"/>
      <c r="L230" s="5"/>
      <c r="M230" s="5"/>
      <c r="N230" s="5"/>
      <c r="O230" s="5"/>
      <c r="P230" s="205">
        <v>1018</v>
      </c>
      <c r="Q230" s="145"/>
      <c r="R230" s="145"/>
      <c r="S230" s="145"/>
      <c r="T230" s="145"/>
      <c r="U230" s="145"/>
      <c r="V230" s="145"/>
      <c r="W230" s="145"/>
      <c r="X230" s="145"/>
      <c r="Y230" s="5"/>
      <c r="AA230" s="12"/>
      <c r="AB230" s="12"/>
      <c r="AC230" s="12"/>
      <c r="AD230" s="12"/>
      <c r="AE230" s="278">
        <f t="shared" si="28"/>
        <v>0</v>
      </c>
      <c r="AM230" s="7"/>
      <c r="AP230" s="7"/>
    </row>
    <row r="231" spans="2:42">
      <c r="B231" s="34" t="s">
        <v>100</v>
      </c>
      <c r="C231" s="32">
        <v>43174</v>
      </c>
      <c r="D231" s="10">
        <v>1080</v>
      </c>
      <c r="E231" s="21" t="s">
        <v>101</v>
      </c>
      <c r="F231" s="5"/>
      <c r="G231" s="5"/>
      <c r="H231" s="5"/>
      <c r="I231" s="5"/>
      <c r="J231" s="5"/>
      <c r="K231" s="5"/>
      <c r="L231" s="5"/>
      <c r="M231" s="5">
        <v>758179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AA231" s="12"/>
      <c r="AB231" s="12"/>
      <c r="AC231" s="12"/>
      <c r="AD231" s="12"/>
      <c r="AE231" s="278">
        <f t="shared" si="28"/>
        <v>758179</v>
      </c>
    </row>
    <row r="232" spans="2:42">
      <c r="B232" s="18" t="s">
        <v>116</v>
      </c>
      <c r="C232" s="19">
        <v>43203</v>
      </c>
      <c r="D232" s="10">
        <v>1055</v>
      </c>
      <c r="E232" s="21" t="s">
        <v>52</v>
      </c>
      <c r="F232" s="5"/>
      <c r="G232" s="5"/>
      <c r="H232" s="5"/>
      <c r="I232" s="5"/>
      <c r="J232" s="5"/>
      <c r="K232" s="5"/>
      <c r="L232" s="5"/>
      <c r="M232" s="5"/>
      <c r="N232" s="5"/>
      <c r="O232" s="5">
        <v>2380189</v>
      </c>
      <c r="P232" s="5"/>
      <c r="Q232" s="5"/>
      <c r="R232" s="5"/>
      <c r="S232" s="5"/>
      <c r="T232" s="5"/>
      <c r="U232" s="5"/>
      <c r="V232" s="5"/>
      <c r="W232" s="5"/>
      <c r="X232" s="5"/>
      <c r="Y232" s="5"/>
      <c r="AA232" s="12"/>
      <c r="AB232" s="12"/>
      <c r="AC232" s="12"/>
      <c r="AD232" s="12"/>
      <c r="AE232" s="278">
        <f t="shared" si="28"/>
        <v>2380189</v>
      </c>
    </row>
    <row r="233" spans="2:42">
      <c r="B233" s="18" t="s">
        <v>118</v>
      </c>
      <c r="C233" s="19">
        <v>43213</v>
      </c>
      <c r="D233" s="10">
        <v>1071.5</v>
      </c>
      <c r="E233" s="21" t="s">
        <v>119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>
        <v>4186862</v>
      </c>
      <c r="R233" s="5"/>
      <c r="S233" s="5"/>
      <c r="T233" s="5"/>
      <c r="U233" s="5"/>
      <c r="V233" s="5"/>
      <c r="W233" s="5"/>
      <c r="X233" s="5"/>
      <c r="Y233" s="5">
        <v>279981</v>
      </c>
      <c r="AA233" s="12"/>
      <c r="AB233" s="12"/>
      <c r="AC233" s="12"/>
      <c r="AD233" s="12"/>
      <c r="AE233" s="278">
        <f t="shared" si="28"/>
        <v>4466843</v>
      </c>
    </row>
    <row r="234" spans="2:42">
      <c r="B234" s="18" t="s">
        <v>126</v>
      </c>
      <c r="C234" s="32">
        <v>43256</v>
      </c>
      <c r="D234" s="10">
        <v>1077</v>
      </c>
      <c r="E234" s="21" t="s">
        <v>127</v>
      </c>
      <c r="F234" s="5"/>
      <c r="G234" s="5"/>
      <c r="H234" s="5"/>
      <c r="I234" s="5"/>
      <c r="J234" s="5"/>
      <c r="K234" s="5"/>
      <c r="L234" s="5">
        <v>687094</v>
      </c>
      <c r="M234" s="5"/>
      <c r="N234" s="5">
        <v>137801</v>
      </c>
      <c r="O234" s="5">
        <v>2366277</v>
      </c>
      <c r="P234" s="5"/>
      <c r="Q234" s="5"/>
      <c r="R234" s="5"/>
      <c r="S234" s="5"/>
      <c r="T234" s="5"/>
      <c r="U234" s="5"/>
      <c r="V234" s="5"/>
      <c r="W234" s="5"/>
      <c r="X234" s="5"/>
      <c r="Y234" s="5"/>
      <c r="AA234" s="12"/>
      <c r="AB234" s="12"/>
      <c r="AC234" s="12"/>
      <c r="AD234" s="12"/>
      <c r="AE234" s="278">
        <f t="shared" si="28"/>
        <v>3191172</v>
      </c>
      <c r="AF234" s="45">
        <f>SUM(AE234:AE235)</f>
        <v>4528253</v>
      </c>
    </row>
    <row r="235" spans="2:42">
      <c r="B235" s="18" t="s">
        <v>126</v>
      </c>
      <c r="C235" s="32">
        <v>43256</v>
      </c>
      <c r="D235" s="10">
        <v>1077</v>
      </c>
      <c r="E235" s="21" t="s">
        <v>128</v>
      </c>
      <c r="F235" s="5">
        <v>424412</v>
      </c>
      <c r="G235" s="5">
        <v>1360</v>
      </c>
      <c r="H235" s="5">
        <v>469739</v>
      </c>
      <c r="I235" s="5">
        <v>208322</v>
      </c>
      <c r="J235" s="5">
        <v>159199</v>
      </c>
      <c r="K235" s="5">
        <v>73050</v>
      </c>
      <c r="L235" s="5"/>
      <c r="M235" s="5"/>
      <c r="N235" s="5"/>
      <c r="O235" s="5"/>
      <c r="P235" s="5">
        <v>999</v>
      </c>
      <c r="Q235" s="5"/>
      <c r="R235" s="5"/>
      <c r="S235" s="5"/>
      <c r="T235" s="5"/>
      <c r="U235" s="5"/>
      <c r="V235" s="5"/>
      <c r="W235" s="5"/>
      <c r="X235" s="5"/>
      <c r="Y235" s="5"/>
      <c r="AA235" s="12"/>
      <c r="AB235" s="12"/>
      <c r="AC235" s="12"/>
      <c r="AD235" s="12"/>
      <c r="AE235" s="278">
        <f t="shared" si="28"/>
        <v>1337081</v>
      </c>
    </row>
    <row r="236" spans="2:42">
      <c r="B236" s="18" t="s">
        <v>129</v>
      </c>
      <c r="C236" s="32">
        <v>43280</v>
      </c>
      <c r="D236" s="10">
        <v>1075</v>
      </c>
      <c r="E236" s="21" t="s">
        <v>48</v>
      </c>
      <c r="F236" s="5"/>
      <c r="G236" s="5"/>
      <c r="H236" s="5"/>
      <c r="I236" s="5"/>
      <c r="J236" s="5"/>
      <c r="K236" s="5"/>
      <c r="L236" s="5"/>
      <c r="M236" s="5"/>
      <c r="N236" s="5">
        <v>769070</v>
      </c>
      <c r="O236" s="5"/>
      <c r="P236" s="196"/>
      <c r="Q236" s="196"/>
      <c r="R236" s="196"/>
      <c r="S236" s="196"/>
      <c r="T236" s="196"/>
      <c r="U236" s="196"/>
      <c r="V236" s="196"/>
      <c r="W236" s="196"/>
      <c r="X236" s="196"/>
      <c r="Y236" s="196"/>
      <c r="AA236" s="12"/>
      <c r="AB236" s="12"/>
      <c r="AC236" s="12"/>
      <c r="AD236" s="12"/>
      <c r="AE236" s="278">
        <f t="shared" si="28"/>
        <v>769070</v>
      </c>
    </row>
    <row r="237" spans="2:42">
      <c r="B237" s="18" t="s">
        <v>130</v>
      </c>
      <c r="C237" s="32">
        <v>43307</v>
      </c>
      <c r="D237" s="10">
        <v>1111</v>
      </c>
      <c r="E237" s="21" t="s">
        <v>131</v>
      </c>
      <c r="F237" s="5"/>
      <c r="G237" s="5"/>
      <c r="H237" s="5"/>
      <c r="I237" s="5"/>
      <c r="J237" s="5"/>
      <c r="K237" s="5"/>
      <c r="L237" s="5">
        <v>494059</v>
      </c>
      <c r="M237" s="5">
        <v>450045</v>
      </c>
      <c r="N237" s="5"/>
      <c r="O237" s="5"/>
      <c r="P237" s="196"/>
      <c r="Q237" s="196"/>
      <c r="R237" s="196"/>
      <c r="S237" s="196"/>
      <c r="T237" s="196"/>
      <c r="U237" s="196"/>
      <c r="V237" s="196"/>
      <c r="W237" s="196"/>
      <c r="X237" s="196"/>
      <c r="Y237" s="196"/>
      <c r="AA237" s="12"/>
      <c r="AB237" s="12"/>
      <c r="AC237" s="12"/>
      <c r="AD237" s="12"/>
      <c r="AE237" s="278">
        <f t="shared" si="28"/>
        <v>944104</v>
      </c>
      <c r="AH237" s="40"/>
    </row>
    <row r="238" spans="2:42">
      <c r="B238" s="311" t="s">
        <v>132</v>
      </c>
      <c r="C238" s="343">
        <v>43321</v>
      </c>
      <c r="D238" s="10">
        <v>1118</v>
      </c>
      <c r="E238" s="21" t="s">
        <v>52</v>
      </c>
      <c r="F238" s="5"/>
      <c r="G238" s="5"/>
      <c r="H238" s="5"/>
      <c r="I238" s="5"/>
      <c r="J238" s="5"/>
      <c r="K238" s="5"/>
      <c r="L238" s="5"/>
      <c r="M238" s="5"/>
      <c r="N238" s="5"/>
      <c r="O238" s="206">
        <v>10485153</v>
      </c>
      <c r="P238" s="196"/>
      <c r="Q238" s="196"/>
      <c r="R238" s="196"/>
      <c r="S238" s="196"/>
      <c r="T238" s="196"/>
      <c r="U238" s="196"/>
      <c r="V238" s="196"/>
      <c r="W238" s="196"/>
      <c r="X238" s="196"/>
      <c r="Y238" s="196"/>
      <c r="AA238" s="12"/>
      <c r="AB238" s="12"/>
      <c r="AC238" s="12"/>
      <c r="AD238" s="12"/>
      <c r="AE238" s="278">
        <f t="shared" si="28"/>
        <v>10485153</v>
      </c>
      <c r="AF238" s="45">
        <f>SUM(AE238:AE240)</f>
        <v>14393612</v>
      </c>
    </row>
    <row r="239" spans="2:42">
      <c r="B239" s="312"/>
      <c r="C239" s="344"/>
      <c r="D239" s="10">
        <v>1118</v>
      </c>
      <c r="E239" s="21" t="s">
        <v>133</v>
      </c>
      <c r="F239" s="5"/>
      <c r="G239" s="5"/>
      <c r="H239" s="181">
        <v>466294</v>
      </c>
      <c r="I239" s="181"/>
      <c r="J239" s="181">
        <v>168263</v>
      </c>
      <c r="K239" s="181">
        <v>3637</v>
      </c>
      <c r="L239" s="181">
        <v>89869</v>
      </c>
      <c r="M239" s="181">
        <v>18350</v>
      </c>
      <c r="N239" s="181">
        <v>1117805</v>
      </c>
      <c r="O239" s="181">
        <v>2044241</v>
      </c>
      <c r="P239" s="196"/>
      <c r="Q239" s="196"/>
      <c r="R239" s="196"/>
      <c r="S239" s="196"/>
      <c r="T239" s="196"/>
      <c r="U239" s="196"/>
      <c r="V239" s="196"/>
      <c r="W239" s="196"/>
      <c r="X239" s="196"/>
      <c r="Y239" s="196"/>
      <c r="AA239" s="12"/>
      <c r="AB239" s="12"/>
      <c r="AC239" s="12"/>
      <c r="AD239" s="12"/>
      <c r="AE239" s="278">
        <f t="shared" si="28"/>
        <v>3908459</v>
      </c>
      <c r="AF239" s="45"/>
      <c r="AH239" s="7"/>
    </row>
    <row r="240" spans="2:42">
      <c r="B240" s="313"/>
      <c r="C240" s="345"/>
      <c r="D240" s="10">
        <v>1118</v>
      </c>
      <c r="E240" s="21" t="s">
        <v>134</v>
      </c>
      <c r="F240" s="181">
        <v>561</v>
      </c>
      <c r="G240" s="181">
        <v>4248</v>
      </c>
      <c r="H240" s="181"/>
      <c r="I240" s="181"/>
      <c r="J240" s="230">
        <f>-(P240+F240+G240)</f>
        <v>-5821</v>
      </c>
      <c r="K240" s="5"/>
      <c r="L240" s="5"/>
      <c r="M240" s="5"/>
      <c r="N240" s="5"/>
      <c r="O240" s="5"/>
      <c r="P240" s="181">
        <v>1012</v>
      </c>
      <c r="Q240" s="196"/>
      <c r="R240" s="196"/>
      <c r="S240" s="196"/>
      <c r="T240" s="196"/>
      <c r="U240" s="196"/>
      <c r="V240" s="196"/>
      <c r="W240" s="196"/>
      <c r="X240" s="196"/>
      <c r="Y240" s="196"/>
      <c r="AA240" s="12"/>
      <c r="AB240" s="12"/>
      <c r="AC240" s="12"/>
      <c r="AD240" s="12"/>
      <c r="AE240" s="278">
        <f t="shared" si="28"/>
        <v>0</v>
      </c>
      <c r="AH240" s="7"/>
    </row>
    <row r="241" spans="2:34">
      <c r="B241" s="311" t="s">
        <v>166</v>
      </c>
      <c r="C241" s="343">
        <v>43381</v>
      </c>
      <c r="D241" s="10">
        <v>1107.06</v>
      </c>
      <c r="E241" s="21" t="s">
        <v>164</v>
      </c>
      <c r="F241" s="181"/>
      <c r="G241" s="181"/>
      <c r="H241" s="181"/>
      <c r="I241" s="181">
        <v>3974491</v>
      </c>
      <c r="J241" s="5"/>
      <c r="K241" s="5">
        <v>1354940</v>
      </c>
      <c r="L241" s="5">
        <v>3161527</v>
      </c>
      <c r="M241" s="5">
        <v>3613174</v>
      </c>
      <c r="N241" s="5"/>
      <c r="O241" s="5">
        <v>4288178</v>
      </c>
      <c r="P241" s="207"/>
      <c r="Q241" s="196">
        <v>6772695</v>
      </c>
      <c r="R241" s="196"/>
      <c r="S241" s="196"/>
      <c r="T241" s="196"/>
      <c r="U241" s="196"/>
      <c r="V241" s="196"/>
      <c r="W241" s="196"/>
      <c r="X241" s="196"/>
      <c r="Y241" s="196"/>
      <c r="AA241" s="12"/>
      <c r="AB241" s="12"/>
      <c r="AC241" s="12"/>
      <c r="AD241" s="12"/>
      <c r="AE241" s="278">
        <f t="shared" si="28"/>
        <v>23165005</v>
      </c>
      <c r="AF241" s="45">
        <f>SUM(AE241:AE242)</f>
        <v>24610799</v>
      </c>
    </row>
    <row r="242" spans="2:34">
      <c r="B242" s="313"/>
      <c r="C242" s="345"/>
      <c r="D242" s="10">
        <v>1107.06</v>
      </c>
      <c r="E242" s="21" t="s">
        <v>165</v>
      </c>
      <c r="F242" s="181"/>
      <c r="G242" s="181"/>
      <c r="H242" s="181"/>
      <c r="I242" s="181"/>
      <c r="J242" s="5">
        <v>206542</v>
      </c>
      <c r="K242" s="5">
        <v>206542</v>
      </c>
      <c r="L242" s="5">
        <v>206542</v>
      </c>
      <c r="M242" s="5">
        <v>206542</v>
      </c>
      <c r="N242" s="5">
        <v>206542</v>
      </c>
      <c r="O242" s="5">
        <v>206542</v>
      </c>
      <c r="P242" s="207"/>
      <c r="Q242" s="208">
        <v>206542</v>
      </c>
      <c r="R242" s="246"/>
      <c r="S242" s="246"/>
      <c r="T242" s="246"/>
      <c r="U242" s="246"/>
      <c r="V242" s="246"/>
      <c r="W242" s="246"/>
      <c r="X242" s="246"/>
      <c r="Y242" s="196"/>
      <c r="AA242" s="12"/>
      <c r="AB242" s="12"/>
      <c r="AC242" s="12"/>
      <c r="AD242" s="12"/>
      <c r="AE242" s="278">
        <f t="shared" si="28"/>
        <v>1445794</v>
      </c>
      <c r="AH242" s="7"/>
    </row>
    <row r="243" spans="2:34">
      <c r="B243" s="370" t="s">
        <v>182</v>
      </c>
      <c r="C243" s="343">
        <v>43412</v>
      </c>
      <c r="D243" s="10">
        <v>1134</v>
      </c>
      <c r="E243" s="21" t="s">
        <v>180</v>
      </c>
      <c r="F243" s="181"/>
      <c r="G243" s="194">
        <f>-6631400-G246</f>
        <v>-6467979</v>
      </c>
      <c r="H243" s="181"/>
      <c r="I243" s="181"/>
      <c r="J243" s="5"/>
      <c r="K243" s="5"/>
      <c r="L243" s="5"/>
      <c r="M243" s="5"/>
      <c r="N243" s="5"/>
      <c r="O243" s="5"/>
      <c r="P243" s="207"/>
      <c r="Q243" s="196"/>
      <c r="R243" s="196"/>
      <c r="S243" s="196"/>
      <c r="T243" s="196"/>
      <c r="U243" s="196"/>
      <c r="V243" s="196"/>
      <c r="W243" s="196"/>
      <c r="X243" s="196"/>
      <c r="Y243" s="196"/>
      <c r="AA243" s="12"/>
      <c r="AB243" s="12"/>
      <c r="AC243" s="12"/>
      <c r="AD243" s="12"/>
      <c r="AE243" s="278">
        <f t="shared" si="28"/>
        <v>-6467979</v>
      </c>
    </row>
    <row r="244" spans="2:34">
      <c r="B244" s="371"/>
      <c r="C244" s="344"/>
      <c r="D244" s="10">
        <v>1134</v>
      </c>
      <c r="E244" s="21" t="s">
        <v>179</v>
      </c>
      <c r="F244" s="181">
        <v>333195</v>
      </c>
      <c r="G244" s="181">
        <v>50207</v>
      </c>
      <c r="H244" s="181">
        <v>468500</v>
      </c>
      <c r="I244" s="181">
        <v>329931</v>
      </c>
      <c r="J244" s="5">
        <v>162448</v>
      </c>
      <c r="K244" s="194">
        <v>98019</v>
      </c>
      <c r="L244" s="5">
        <v>819135</v>
      </c>
      <c r="M244" s="5">
        <v>717711</v>
      </c>
      <c r="N244" s="5">
        <v>1081265</v>
      </c>
      <c r="O244" s="5">
        <v>1524707</v>
      </c>
      <c r="P244" s="207">
        <v>1027</v>
      </c>
      <c r="Q244" s="196"/>
      <c r="R244" s="196"/>
      <c r="S244" s="196"/>
      <c r="T244" s="196"/>
      <c r="U244" s="196"/>
      <c r="V244" s="196"/>
      <c r="W244" s="196"/>
      <c r="X244" s="196"/>
      <c r="Y244" s="196"/>
      <c r="AA244" s="12"/>
      <c r="AB244" s="12"/>
      <c r="AC244" s="12"/>
      <c r="AD244" s="12"/>
      <c r="AE244" s="278">
        <f t="shared" si="28"/>
        <v>5586145</v>
      </c>
      <c r="AH244" s="7"/>
    </row>
    <row r="245" spans="2:34">
      <c r="B245" s="372"/>
      <c r="C245" s="345"/>
      <c r="D245" s="10">
        <v>1134</v>
      </c>
      <c r="E245" s="21" t="s">
        <v>181</v>
      </c>
      <c r="F245" s="181"/>
      <c r="G245" s="181"/>
      <c r="H245" s="181"/>
      <c r="I245" s="181">
        <v>881834</v>
      </c>
      <c r="J245" s="5"/>
      <c r="K245" s="5"/>
      <c r="L245" s="5"/>
      <c r="M245" s="5"/>
      <c r="N245" s="5"/>
      <c r="O245" s="5"/>
      <c r="P245" s="207"/>
      <c r="Q245" s="196"/>
      <c r="R245" s="196"/>
      <c r="S245" s="196"/>
      <c r="T245" s="196"/>
      <c r="U245" s="196"/>
      <c r="V245" s="196"/>
      <c r="W245" s="196"/>
      <c r="X245" s="196"/>
      <c r="Y245" s="196"/>
      <c r="AA245" s="12"/>
      <c r="AB245" s="12"/>
      <c r="AC245" s="12"/>
      <c r="AD245" s="12"/>
      <c r="AE245" s="278">
        <f t="shared" si="28"/>
        <v>881834</v>
      </c>
    </row>
    <row r="246" spans="2:34">
      <c r="B246" s="34" t="s">
        <v>183</v>
      </c>
      <c r="C246" s="32">
        <v>43426</v>
      </c>
      <c r="D246" s="10">
        <v>1118</v>
      </c>
      <c r="E246" s="21" t="s">
        <v>185</v>
      </c>
      <c r="F246" s="181"/>
      <c r="G246" s="194">
        <v>-163421</v>
      </c>
      <c r="H246" s="181"/>
      <c r="I246" s="181">
        <v>1625488</v>
      </c>
      <c r="J246" s="5"/>
      <c r="K246" s="5"/>
      <c r="L246" s="5">
        <v>1788908</v>
      </c>
      <c r="M246" s="5">
        <v>894454</v>
      </c>
      <c r="N246" s="5"/>
      <c r="O246" s="5"/>
      <c r="P246" s="207"/>
      <c r="Q246" s="196"/>
      <c r="R246" s="196">
        <v>1788909</v>
      </c>
      <c r="S246" s="196"/>
      <c r="T246" s="196"/>
      <c r="U246" s="196"/>
      <c r="V246" s="196"/>
      <c r="W246" s="196"/>
      <c r="X246" s="196"/>
      <c r="Y246" s="196"/>
      <c r="AA246" s="12"/>
      <c r="AB246" s="12"/>
      <c r="AC246" s="12"/>
      <c r="AD246" s="12"/>
      <c r="AE246" s="278">
        <f t="shared" si="28"/>
        <v>5934338</v>
      </c>
    </row>
    <row r="247" spans="2:34">
      <c r="B247" s="34"/>
      <c r="C247" s="32"/>
      <c r="D247" s="10"/>
      <c r="E247" s="21"/>
      <c r="F247" s="181"/>
      <c r="G247" s="145"/>
      <c r="H247" s="181"/>
      <c r="I247" s="181"/>
      <c r="J247" s="5"/>
      <c r="K247" s="5"/>
      <c r="L247" s="5"/>
      <c r="M247" s="5"/>
      <c r="N247" s="5"/>
      <c r="O247" s="5"/>
      <c r="P247" s="207"/>
      <c r="Q247" s="196"/>
      <c r="R247" s="196"/>
      <c r="S247" s="196"/>
      <c r="T247" s="196"/>
      <c r="U247" s="196"/>
      <c r="V247" s="196"/>
      <c r="W247" s="196"/>
      <c r="X247" s="196"/>
      <c r="Y247" s="196"/>
      <c r="AA247" s="12"/>
      <c r="AB247" s="12"/>
      <c r="AC247" s="12"/>
      <c r="AD247" s="12"/>
      <c r="AE247" s="278">
        <f t="shared" si="28"/>
        <v>0</v>
      </c>
    </row>
    <row r="248" spans="2:34">
      <c r="B248" s="34" t="s">
        <v>187</v>
      </c>
      <c r="C248" s="32">
        <v>43440</v>
      </c>
      <c r="D248" s="10">
        <v>1127</v>
      </c>
      <c r="E248" s="21" t="s">
        <v>188</v>
      </c>
      <c r="F248" s="181"/>
      <c r="G248" s="5"/>
      <c r="H248" s="181"/>
      <c r="I248" s="181"/>
      <c r="J248" s="5"/>
      <c r="K248" s="5">
        <v>1082520</v>
      </c>
      <c r="L248" s="5"/>
      <c r="M248" s="5"/>
      <c r="N248" s="5"/>
      <c r="O248" s="5">
        <v>7655567</v>
      </c>
      <c r="P248" s="207"/>
      <c r="Q248" s="196">
        <v>31535680</v>
      </c>
      <c r="R248" s="196"/>
      <c r="S248" s="196"/>
      <c r="T248" s="196"/>
      <c r="U248" s="196"/>
      <c r="V248" s="196"/>
      <c r="W248" s="196"/>
      <c r="X248" s="196"/>
      <c r="Y248" s="196">
        <v>266193</v>
      </c>
      <c r="AA248" s="12"/>
      <c r="AB248" s="12"/>
      <c r="AC248" s="12"/>
      <c r="AD248" s="12"/>
      <c r="AE248" s="278">
        <f t="shared" si="28"/>
        <v>40539960</v>
      </c>
    </row>
    <row r="249" spans="2:34" ht="14.25" thickBot="1">
      <c r="B249" s="34" t="s">
        <v>189</v>
      </c>
      <c r="C249" s="32">
        <v>43446</v>
      </c>
      <c r="D249" s="10">
        <v>1120.2</v>
      </c>
      <c r="E249" s="21" t="s">
        <v>190</v>
      </c>
      <c r="F249" s="181"/>
      <c r="G249" s="5"/>
      <c r="H249" s="181"/>
      <c r="I249" s="181"/>
      <c r="J249" s="5"/>
      <c r="K249" s="5"/>
      <c r="L249" s="5"/>
      <c r="M249" s="5"/>
      <c r="N249" s="5"/>
      <c r="O249" s="5"/>
      <c r="P249" s="207"/>
      <c r="Q249" s="196"/>
      <c r="R249" s="196"/>
      <c r="S249" s="196">
        <v>6189073</v>
      </c>
      <c r="T249" s="196"/>
      <c r="U249" s="196"/>
      <c r="V249" s="196"/>
      <c r="W249" s="196"/>
      <c r="X249" s="196"/>
      <c r="Y249" s="196">
        <v>267809</v>
      </c>
      <c r="AA249" s="12"/>
      <c r="AB249" s="12"/>
      <c r="AC249" s="12"/>
      <c r="AD249" s="12"/>
      <c r="AE249" s="278">
        <f t="shared" si="28"/>
        <v>6456882</v>
      </c>
    </row>
    <row r="250" spans="2:34">
      <c r="B250" s="102" t="s">
        <v>200</v>
      </c>
      <c r="C250" s="32">
        <v>43446</v>
      </c>
      <c r="D250" s="10"/>
      <c r="E250" s="21" t="s">
        <v>117</v>
      </c>
      <c r="F250" s="181"/>
      <c r="G250" s="5"/>
      <c r="H250" s="181"/>
      <c r="I250" s="181"/>
      <c r="J250" s="5"/>
      <c r="K250" s="5"/>
      <c r="L250" s="5"/>
      <c r="M250" s="5"/>
      <c r="N250" s="5"/>
      <c r="O250" s="5"/>
      <c r="P250" s="209"/>
      <c r="Q250" s="210">
        <v>300000</v>
      </c>
      <c r="R250" s="211"/>
      <c r="S250" s="196"/>
      <c r="T250" s="196"/>
      <c r="U250" s="196"/>
      <c r="V250" s="196"/>
      <c r="W250" s="196"/>
      <c r="X250" s="196"/>
      <c r="Y250" s="196"/>
      <c r="AA250" s="12"/>
      <c r="AB250" s="12"/>
      <c r="AC250" s="12"/>
      <c r="AD250" s="12"/>
      <c r="AE250" s="278">
        <f t="shared" ref="AE250:AE313" si="58">SUM(F250:Y250)</f>
        <v>300000</v>
      </c>
    </row>
    <row r="251" spans="2:34">
      <c r="B251" s="163" t="s">
        <v>201</v>
      </c>
      <c r="C251" s="161">
        <v>43469</v>
      </c>
      <c r="D251" s="164">
        <v>1124</v>
      </c>
      <c r="E251" s="165" t="s">
        <v>41</v>
      </c>
      <c r="F251" s="181"/>
      <c r="G251" s="5"/>
      <c r="H251" s="181"/>
      <c r="I251" s="181"/>
      <c r="J251" s="5"/>
      <c r="K251" s="5"/>
      <c r="L251" s="5"/>
      <c r="M251" s="5"/>
      <c r="N251" s="5">
        <v>4492883</v>
      </c>
      <c r="O251" s="5"/>
      <c r="P251" s="209"/>
      <c r="Q251" s="212"/>
      <c r="R251" s="211"/>
      <c r="S251" s="196"/>
      <c r="T251" s="196"/>
      <c r="U251" s="196"/>
      <c r="V251" s="196"/>
      <c r="W251" s="196"/>
      <c r="X251" s="196"/>
      <c r="Y251" s="196"/>
      <c r="AA251" s="12"/>
      <c r="AB251" s="12"/>
      <c r="AC251" s="12"/>
      <c r="AD251" s="12"/>
      <c r="AE251" s="278">
        <f t="shared" si="58"/>
        <v>4492883</v>
      </c>
    </row>
    <row r="252" spans="2:34">
      <c r="B252" s="337" t="s">
        <v>202</v>
      </c>
      <c r="C252" s="334">
        <v>43476</v>
      </c>
      <c r="D252" s="337">
        <v>1117</v>
      </c>
      <c r="E252" s="165" t="s">
        <v>203</v>
      </c>
      <c r="F252" s="181"/>
      <c r="G252" s="5"/>
      <c r="H252" s="181"/>
      <c r="I252" s="181"/>
      <c r="J252" s="5"/>
      <c r="K252" s="213">
        <v>311342</v>
      </c>
      <c r="L252" s="5"/>
      <c r="M252" s="5"/>
      <c r="N252" s="5"/>
      <c r="O252" s="5"/>
      <c r="P252" s="209"/>
      <c r="Q252" s="214"/>
      <c r="R252" s="211"/>
      <c r="S252" s="196"/>
      <c r="T252" s="196"/>
      <c r="U252" s="196"/>
      <c r="V252" s="196"/>
      <c r="W252" s="196"/>
      <c r="X252" s="196"/>
      <c r="Y252" s="196"/>
      <c r="AA252" s="12"/>
      <c r="AB252" s="12"/>
      <c r="AC252" s="12"/>
      <c r="AD252" s="12"/>
      <c r="AE252" s="278">
        <f t="shared" si="58"/>
        <v>311342</v>
      </c>
      <c r="AF252" s="45">
        <f>SUM(AE252:AE253)</f>
        <v>723160</v>
      </c>
    </row>
    <row r="253" spans="2:34">
      <c r="B253" s="339"/>
      <c r="C253" s="336"/>
      <c r="D253" s="339"/>
      <c r="E253" s="165" t="s">
        <v>204</v>
      </c>
      <c r="F253" s="181"/>
      <c r="G253" s="5"/>
      <c r="H253" s="181"/>
      <c r="I253" s="181"/>
      <c r="J253" s="5"/>
      <c r="K253" s="5"/>
      <c r="L253" s="5"/>
      <c r="M253" s="5"/>
      <c r="N253" s="5"/>
      <c r="O253" s="5"/>
      <c r="P253" s="207"/>
      <c r="Q253" s="5"/>
      <c r="R253" s="196">
        <v>205909</v>
      </c>
      <c r="S253" s="196">
        <v>205909</v>
      </c>
      <c r="T253" s="196"/>
      <c r="U253" s="196"/>
      <c r="V253" s="196"/>
      <c r="W253" s="196"/>
      <c r="X253" s="196"/>
      <c r="Y253" s="196"/>
      <c r="AA253" s="12"/>
      <c r="AB253" s="12"/>
      <c r="AC253" s="12"/>
      <c r="AD253" s="12"/>
      <c r="AE253" s="278">
        <f t="shared" si="58"/>
        <v>411818</v>
      </c>
    </row>
    <row r="254" spans="2:34">
      <c r="B254" s="311" t="s">
        <v>205</v>
      </c>
      <c r="C254" s="32">
        <v>43496</v>
      </c>
      <c r="D254" s="34">
        <v>1120</v>
      </c>
      <c r="E254" s="21" t="s">
        <v>206</v>
      </c>
      <c r="F254" s="181"/>
      <c r="G254" s="5"/>
      <c r="H254" s="181"/>
      <c r="I254" s="181"/>
      <c r="J254" s="5"/>
      <c r="K254" s="5"/>
      <c r="L254" s="5">
        <v>1039286</v>
      </c>
      <c r="M254" s="5">
        <v>892857</v>
      </c>
      <c r="N254" s="5">
        <v>4976250</v>
      </c>
      <c r="O254" s="5">
        <v>2338212</v>
      </c>
      <c r="P254" s="207"/>
      <c r="Q254" s="5"/>
      <c r="R254" s="196"/>
      <c r="S254" s="196"/>
      <c r="T254" s="196"/>
      <c r="U254" s="196"/>
      <c r="V254" s="196"/>
      <c r="W254" s="196"/>
      <c r="X254" s="196"/>
      <c r="Y254" s="196"/>
      <c r="AA254" s="12"/>
      <c r="AB254" s="12"/>
      <c r="AC254" s="12"/>
      <c r="AD254" s="12"/>
      <c r="AE254" s="278">
        <f t="shared" si="58"/>
        <v>9246605</v>
      </c>
      <c r="AF254" s="45">
        <f>SUM(AE254:AE256)</f>
        <v>13533600</v>
      </c>
    </row>
    <row r="255" spans="2:34">
      <c r="B255" s="312"/>
      <c r="C255" s="32">
        <v>43496</v>
      </c>
      <c r="D255" s="34">
        <v>1120</v>
      </c>
      <c r="E255" s="21" t="s">
        <v>207</v>
      </c>
      <c r="F255" s="181">
        <v>272980</v>
      </c>
      <c r="G255" s="5">
        <v>37605</v>
      </c>
      <c r="H255" s="181"/>
      <c r="I255" s="181">
        <v>148510</v>
      </c>
      <c r="J255" s="5">
        <v>234004</v>
      </c>
      <c r="K255" s="5">
        <v>27032</v>
      </c>
      <c r="L255" s="5">
        <v>99752</v>
      </c>
      <c r="M255" s="5">
        <v>106890</v>
      </c>
      <c r="N255" s="5">
        <v>395499</v>
      </c>
      <c r="O255" s="5">
        <v>1223893</v>
      </c>
      <c r="P255" s="207">
        <v>1030</v>
      </c>
      <c r="Q255" s="5">
        <v>1648124</v>
      </c>
      <c r="R255" s="196">
        <v>19120</v>
      </c>
      <c r="S255" s="196">
        <v>73586</v>
      </c>
      <c r="T255" s="196"/>
      <c r="U255" s="196"/>
      <c r="V255" s="196"/>
      <c r="W255" s="196"/>
      <c r="X255" s="196"/>
      <c r="Y255" s="196"/>
      <c r="AA255" s="12"/>
      <c r="AB255" s="12"/>
      <c r="AC255" s="12"/>
      <c r="AD255" s="12"/>
      <c r="AE255" s="278">
        <f t="shared" si="58"/>
        <v>4288025</v>
      </c>
    </row>
    <row r="256" spans="2:34">
      <c r="B256" s="313"/>
      <c r="C256" s="32"/>
      <c r="D256" s="34"/>
      <c r="E256" s="21" t="s">
        <v>237</v>
      </c>
      <c r="F256" s="181"/>
      <c r="G256" s="5"/>
      <c r="H256" s="181"/>
      <c r="I256" s="181"/>
      <c r="J256" s="207">
        <v>-1030</v>
      </c>
      <c r="K256" s="5"/>
      <c r="L256" s="5"/>
      <c r="M256" s="5"/>
      <c r="N256" s="5"/>
      <c r="O256" s="5"/>
      <c r="P256" s="207"/>
      <c r="Q256" s="5"/>
      <c r="R256" s="196"/>
      <c r="S256" s="196"/>
      <c r="T256" s="196"/>
      <c r="U256" s="196"/>
      <c r="V256" s="196"/>
      <c r="W256" s="196"/>
      <c r="X256" s="196"/>
      <c r="Y256" s="196"/>
      <c r="AA256" s="12"/>
      <c r="AB256" s="12"/>
      <c r="AC256" s="12"/>
      <c r="AD256" s="12"/>
      <c r="AE256" s="278">
        <f t="shared" si="58"/>
        <v>-1030</v>
      </c>
    </row>
    <row r="257" spans="2:32">
      <c r="B257" s="10" t="s">
        <v>210</v>
      </c>
      <c r="C257" s="32">
        <v>43529</v>
      </c>
      <c r="D257" s="34">
        <v>1123.5</v>
      </c>
      <c r="E257" s="21" t="s">
        <v>211</v>
      </c>
      <c r="F257" s="181"/>
      <c r="G257" s="5"/>
      <c r="H257" s="181"/>
      <c r="I257" s="181"/>
      <c r="J257" s="5"/>
      <c r="K257" s="5">
        <v>1909212</v>
      </c>
      <c r="L257" s="5"/>
      <c r="M257" s="5"/>
      <c r="N257" s="5"/>
      <c r="O257" s="5"/>
      <c r="P257" s="207"/>
      <c r="Q257" s="5"/>
      <c r="R257" s="196"/>
      <c r="S257" s="196"/>
      <c r="T257" s="196"/>
      <c r="U257" s="196"/>
      <c r="V257" s="196"/>
      <c r="W257" s="196"/>
      <c r="X257" s="196"/>
      <c r="Y257" s="196"/>
      <c r="AA257" s="12"/>
      <c r="AB257" s="12"/>
      <c r="AC257" s="12"/>
      <c r="AD257" s="12"/>
      <c r="AE257" s="278">
        <f t="shared" si="58"/>
        <v>1909212</v>
      </c>
    </row>
    <row r="258" spans="2:32">
      <c r="B258" s="102" t="s">
        <v>227</v>
      </c>
      <c r="C258" s="32">
        <v>43538</v>
      </c>
      <c r="D258" s="34"/>
      <c r="E258" s="21" t="s">
        <v>228</v>
      </c>
      <c r="F258" s="181"/>
      <c r="G258" s="5"/>
      <c r="H258" s="181"/>
      <c r="I258" s="181"/>
      <c r="J258" s="5"/>
      <c r="K258" s="5"/>
      <c r="L258" s="5"/>
      <c r="M258" s="5"/>
      <c r="N258" s="5"/>
      <c r="O258" s="5"/>
      <c r="P258" s="207"/>
      <c r="Q258" s="5"/>
      <c r="R258" s="196"/>
      <c r="S258" s="196"/>
      <c r="T258" s="196"/>
      <c r="U258" s="196"/>
      <c r="V258" s="196"/>
      <c r="W258" s="196"/>
      <c r="X258" s="196"/>
      <c r="Y258" s="196">
        <v>244468</v>
      </c>
      <c r="AA258" s="12"/>
      <c r="AB258" s="12"/>
      <c r="AC258" s="12"/>
      <c r="AD258" s="12"/>
      <c r="AE258" s="278">
        <f t="shared" si="58"/>
        <v>244468</v>
      </c>
    </row>
    <row r="259" spans="2:32">
      <c r="B259" s="10" t="s">
        <v>221</v>
      </c>
      <c r="C259" s="32">
        <v>43539</v>
      </c>
      <c r="D259" s="34">
        <v>1119.9000000000001</v>
      </c>
      <c r="E259" s="21" t="s">
        <v>222</v>
      </c>
      <c r="F259" s="181"/>
      <c r="G259" s="5"/>
      <c r="H259" s="181"/>
      <c r="I259" s="181">
        <v>2143048</v>
      </c>
      <c r="J259" s="5"/>
      <c r="K259" s="5"/>
      <c r="L259" s="5">
        <v>3125279</v>
      </c>
      <c r="M259" s="5">
        <v>1813555</v>
      </c>
      <c r="N259" s="5"/>
      <c r="O259" s="5"/>
      <c r="P259" s="207"/>
      <c r="Q259" s="5"/>
      <c r="R259" s="196"/>
      <c r="S259" s="196"/>
      <c r="T259" s="196">
        <v>2115138</v>
      </c>
      <c r="U259" s="196"/>
      <c r="V259" s="196"/>
      <c r="W259" s="196"/>
      <c r="X259" s="196"/>
      <c r="Y259" s="5"/>
      <c r="AA259" s="12"/>
      <c r="AB259" s="12"/>
      <c r="AC259" s="12"/>
      <c r="AD259" s="12"/>
      <c r="AE259" s="278">
        <f t="shared" si="58"/>
        <v>9197020</v>
      </c>
    </row>
    <row r="260" spans="2:32">
      <c r="B260" s="34" t="s">
        <v>225</v>
      </c>
      <c r="C260" s="32">
        <v>43565</v>
      </c>
      <c r="D260" s="34">
        <v>1129</v>
      </c>
      <c r="E260" s="21" t="s">
        <v>226</v>
      </c>
      <c r="F260" s="181"/>
      <c r="G260" s="5"/>
      <c r="H260" s="181"/>
      <c r="I260" s="181"/>
      <c r="J260" s="5"/>
      <c r="K260" s="5">
        <v>2090305</v>
      </c>
      <c r="L260" s="5"/>
      <c r="M260" s="5"/>
      <c r="N260" s="5">
        <v>3319515</v>
      </c>
      <c r="O260" s="5">
        <v>3028656</v>
      </c>
      <c r="P260" s="207"/>
      <c r="Q260" s="5"/>
      <c r="R260" s="196"/>
      <c r="S260" s="196"/>
      <c r="T260" s="196"/>
      <c r="U260" s="196"/>
      <c r="V260" s="196"/>
      <c r="W260" s="196"/>
      <c r="X260" s="196"/>
      <c r="Y260" s="5"/>
      <c r="AA260" s="12"/>
      <c r="AB260" s="12"/>
      <c r="AC260" s="12"/>
      <c r="AD260" s="12"/>
      <c r="AE260" s="278">
        <f t="shared" si="58"/>
        <v>8438476</v>
      </c>
    </row>
    <row r="261" spans="2:32">
      <c r="B261" s="311" t="s">
        <v>229</v>
      </c>
      <c r="C261" s="343">
        <v>43593</v>
      </c>
      <c r="D261" s="34">
        <v>1140.8</v>
      </c>
      <c r="E261" s="21" t="s">
        <v>231</v>
      </c>
      <c r="F261" s="181"/>
      <c r="G261" s="5"/>
      <c r="H261" s="181"/>
      <c r="I261" s="181"/>
      <c r="J261" s="5">
        <v>3068022</v>
      </c>
      <c r="K261" s="5"/>
      <c r="L261" s="5"/>
      <c r="M261" s="5"/>
      <c r="N261" s="5"/>
      <c r="O261" s="5">
        <v>876578</v>
      </c>
      <c r="P261" s="207"/>
      <c r="Q261" s="196"/>
      <c r="R261" s="196"/>
      <c r="S261" s="196"/>
      <c r="T261" s="196"/>
      <c r="U261" s="196"/>
      <c r="V261" s="196"/>
      <c r="W261" s="196"/>
      <c r="X261" s="196"/>
      <c r="Y261" s="196"/>
      <c r="AA261" s="12"/>
      <c r="AB261" s="12"/>
      <c r="AC261" s="12"/>
      <c r="AD261" s="12"/>
      <c r="AE261" s="278">
        <f t="shared" si="58"/>
        <v>3944600</v>
      </c>
      <c r="AF261" s="45">
        <f>SUM(AE261:AE263)</f>
        <v>7375271</v>
      </c>
    </row>
    <row r="262" spans="2:32">
      <c r="B262" s="312"/>
      <c r="C262" s="345"/>
      <c r="D262" s="10">
        <v>1140.8</v>
      </c>
      <c r="E262" s="5" t="s">
        <v>233</v>
      </c>
      <c r="F262" s="5">
        <v>267847</v>
      </c>
      <c r="G262" s="5">
        <v>36468</v>
      </c>
      <c r="H262" s="5">
        <v>632952</v>
      </c>
      <c r="I262" s="5">
        <v>146146</v>
      </c>
      <c r="J262" s="5">
        <v>93537</v>
      </c>
      <c r="K262" s="5">
        <v>28589</v>
      </c>
      <c r="L262" s="5">
        <v>102747</v>
      </c>
      <c r="M262" s="5">
        <v>109193</v>
      </c>
      <c r="N262" s="145">
        <v>208815</v>
      </c>
      <c r="O262" s="5">
        <v>951444</v>
      </c>
      <c r="P262" s="5">
        <v>1011</v>
      </c>
      <c r="Q262" s="5">
        <v>475756</v>
      </c>
      <c r="R262" s="5">
        <v>192687</v>
      </c>
      <c r="S262" s="5">
        <v>183259</v>
      </c>
      <c r="T262" s="5">
        <v>1231</v>
      </c>
      <c r="U262" s="5"/>
      <c r="V262" s="5"/>
      <c r="W262" s="5"/>
      <c r="X262" s="5"/>
      <c r="Y262" s="5"/>
      <c r="AA262" s="12"/>
      <c r="AB262" s="12"/>
      <c r="AC262" s="12"/>
      <c r="AD262" s="12"/>
      <c r="AE262" s="278">
        <f t="shared" si="58"/>
        <v>3431682</v>
      </c>
    </row>
    <row r="263" spans="2:32">
      <c r="B263" s="313"/>
      <c r="C263" s="32"/>
      <c r="D263" s="10"/>
      <c r="E263" s="21" t="s">
        <v>237</v>
      </c>
      <c r="F263" s="204"/>
      <c r="G263" s="204"/>
      <c r="H263" s="204"/>
      <c r="I263" s="204"/>
      <c r="J263" s="204"/>
      <c r="K263" s="181">
        <v>-1011</v>
      </c>
      <c r="L263" s="204"/>
      <c r="M263" s="204"/>
      <c r="N263" s="14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AA263" s="12"/>
      <c r="AB263" s="12"/>
      <c r="AC263" s="12"/>
      <c r="AD263" s="12"/>
      <c r="AE263" s="278">
        <f t="shared" si="58"/>
        <v>-1011</v>
      </c>
    </row>
    <row r="264" spans="2:32">
      <c r="B264" s="34" t="s">
        <v>235</v>
      </c>
      <c r="C264" s="32">
        <v>43613</v>
      </c>
      <c r="D264" s="10">
        <v>1187</v>
      </c>
      <c r="E264" s="5" t="s">
        <v>236</v>
      </c>
      <c r="F264" s="204"/>
      <c r="G264" s="204"/>
      <c r="H264" s="204"/>
      <c r="I264" s="204">
        <v>5897220</v>
      </c>
      <c r="J264" s="204"/>
      <c r="K264" s="5"/>
      <c r="L264" s="204">
        <v>1788494</v>
      </c>
      <c r="M264" s="204"/>
      <c r="N264" s="145"/>
      <c r="O264" s="5">
        <v>5054760</v>
      </c>
      <c r="P264" s="5"/>
      <c r="Q264" s="5"/>
      <c r="R264" s="5"/>
      <c r="S264" s="5"/>
      <c r="T264" s="5">
        <v>2058130</v>
      </c>
      <c r="U264" s="5"/>
      <c r="V264" s="5"/>
      <c r="W264" s="5"/>
      <c r="X264" s="5"/>
      <c r="Y264" s="5"/>
      <c r="AA264" s="12"/>
      <c r="AB264" s="12"/>
      <c r="AC264" s="12"/>
      <c r="AD264" s="12"/>
      <c r="AE264" s="278">
        <f t="shared" si="58"/>
        <v>14798604</v>
      </c>
    </row>
    <row r="265" spans="2:32">
      <c r="B265" s="34" t="s">
        <v>238</v>
      </c>
      <c r="C265" s="32">
        <v>43635</v>
      </c>
      <c r="D265" s="10">
        <v>1179.5</v>
      </c>
      <c r="E265" s="5" t="s">
        <v>239</v>
      </c>
      <c r="F265" s="204"/>
      <c r="G265" s="204"/>
      <c r="H265" s="204"/>
      <c r="I265" s="204"/>
      <c r="J265" s="204">
        <v>3984739</v>
      </c>
      <c r="K265" s="204"/>
      <c r="L265" s="204"/>
      <c r="M265" s="204"/>
      <c r="N265" s="145"/>
      <c r="O265" s="5"/>
      <c r="P265" s="5"/>
      <c r="Q265" s="5"/>
      <c r="R265" s="5"/>
      <c r="S265" s="5">
        <v>29220009</v>
      </c>
      <c r="T265" s="5">
        <v>313693</v>
      </c>
      <c r="U265" s="5"/>
      <c r="V265" s="5"/>
      <c r="W265" s="5"/>
      <c r="X265" s="5"/>
      <c r="Y265" s="5"/>
      <c r="AA265" s="12"/>
      <c r="AB265" s="12"/>
      <c r="AC265" s="12"/>
      <c r="AD265" s="12"/>
      <c r="AE265" s="278">
        <f t="shared" si="58"/>
        <v>33518441</v>
      </c>
    </row>
    <row r="266" spans="2:32">
      <c r="B266" s="34" t="s">
        <v>241</v>
      </c>
      <c r="C266" s="32">
        <v>43661</v>
      </c>
      <c r="D266" s="10">
        <v>1155.4000000000001</v>
      </c>
      <c r="E266" s="5" t="s">
        <v>243</v>
      </c>
      <c r="F266" s="204"/>
      <c r="G266" s="204"/>
      <c r="H266" s="204"/>
      <c r="I266" s="204">
        <v>1644452</v>
      </c>
      <c r="J266" s="204"/>
      <c r="K266" s="204"/>
      <c r="L266" s="204"/>
      <c r="M266" s="204"/>
      <c r="N266" s="145"/>
      <c r="O266" s="5"/>
      <c r="P266" s="5"/>
      <c r="Q266" s="5"/>
      <c r="R266" s="5"/>
      <c r="S266" s="5"/>
      <c r="T266" s="5">
        <v>35982343</v>
      </c>
      <c r="U266" s="5"/>
      <c r="V266" s="5"/>
      <c r="W266" s="5"/>
      <c r="X266" s="5"/>
      <c r="Y266" s="5"/>
      <c r="AA266" s="12"/>
      <c r="AB266" s="12"/>
      <c r="AC266" s="12"/>
      <c r="AD266" s="12"/>
      <c r="AE266" s="278">
        <f t="shared" si="58"/>
        <v>37626795</v>
      </c>
    </row>
    <row r="267" spans="2:32">
      <c r="B267" s="311" t="s">
        <v>272</v>
      </c>
      <c r="C267" s="343">
        <v>43700</v>
      </c>
      <c r="D267" s="10">
        <v>1203.5</v>
      </c>
      <c r="E267" s="5" t="s">
        <v>267</v>
      </c>
      <c r="F267" s="204"/>
      <c r="G267" s="204"/>
      <c r="H267" s="204"/>
      <c r="I267" s="204"/>
      <c r="J267" s="279">
        <v>2492730</v>
      </c>
      <c r="K267" s="279"/>
      <c r="L267" s="279"/>
      <c r="M267" s="279"/>
      <c r="N267" s="282"/>
      <c r="O267" s="284"/>
      <c r="P267" s="5"/>
      <c r="Q267" s="5"/>
      <c r="R267" s="284">
        <v>12425355</v>
      </c>
      <c r="S267" s="5"/>
      <c r="T267" s="5"/>
      <c r="U267" s="5"/>
      <c r="V267" s="5"/>
      <c r="W267" s="5"/>
      <c r="X267" s="5"/>
      <c r="Y267" s="5"/>
      <c r="AA267" s="12"/>
      <c r="AB267" s="12"/>
      <c r="AC267" s="12"/>
      <c r="AD267" s="12"/>
      <c r="AE267" s="278">
        <f t="shared" si="58"/>
        <v>14918085</v>
      </c>
      <c r="AF267" s="45">
        <f>SUM(AE267:AE271)</f>
        <v>19280023</v>
      </c>
    </row>
    <row r="268" spans="2:32">
      <c r="B268" s="312"/>
      <c r="C268" s="344"/>
      <c r="D268" s="10">
        <v>1203.5</v>
      </c>
      <c r="E268" s="5" t="s">
        <v>268</v>
      </c>
      <c r="F268" s="279">
        <v>274121</v>
      </c>
      <c r="G268" s="279">
        <v>37848</v>
      </c>
      <c r="H268" s="279">
        <v>295855</v>
      </c>
      <c r="I268" s="279">
        <v>54916</v>
      </c>
      <c r="J268" s="279">
        <v>32269</v>
      </c>
      <c r="K268" s="279">
        <v>77445</v>
      </c>
      <c r="L268" s="279">
        <v>249758</v>
      </c>
      <c r="M268" s="279">
        <v>140879</v>
      </c>
      <c r="N268" s="282">
        <v>405443</v>
      </c>
      <c r="O268" s="284">
        <v>917646</v>
      </c>
      <c r="P268" s="205">
        <v>1025</v>
      </c>
      <c r="Q268" s="284">
        <v>471808</v>
      </c>
      <c r="R268" s="284">
        <v>175033</v>
      </c>
      <c r="S268" s="284">
        <v>555998</v>
      </c>
      <c r="T268" s="284">
        <v>374236</v>
      </c>
      <c r="U268" s="5"/>
      <c r="V268" s="5"/>
      <c r="W268" s="5"/>
      <c r="X268" s="5"/>
      <c r="Y268" s="5"/>
      <c r="AA268" s="12"/>
      <c r="AB268" s="12"/>
      <c r="AC268" s="12"/>
      <c r="AD268" s="12"/>
      <c r="AE268" s="278">
        <f t="shared" si="58"/>
        <v>4064280</v>
      </c>
    </row>
    <row r="269" spans="2:32">
      <c r="B269" s="312"/>
      <c r="C269" s="344"/>
      <c r="D269" s="10"/>
      <c r="E269" s="21" t="s">
        <v>270</v>
      </c>
      <c r="F269" s="280"/>
      <c r="G269" s="280"/>
      <c r="H269" s="280"/>
      <c r="I269" s="280"/>
      <c r="J269" s="230">
        <v>-1025</v>
      </c>
      <c r="K269" s="280"/>
      <c r="L269" s="280"/>
      <c r="M269" s="280"/>
      <c r="N269" s="283"/>
      <c r="O269" s="285"/>
      <c r="P269" s="180"/>
      <c r="Q269" s="285"/>
      <c r="R269" s="285"/>
      <c r="S269" s="285"/>
      <c r="T269" s="285"/>
      <c r="U269" s="176"/>
      <c r="V269" s="176"/>
      <c r="W269" s="176"/>
      <c r="X269" s="176"/>
      <c r="Y269" s="5"/>
      <c r="AA269" s="12"/>
      <c r="AB269" s="12"/>
      <c r="AC269" s="12"/>
      <c r="AD269" s="12"/>
      <c r="AE269" s="278">
        <f t="shared" si="58"/>
        <v>-1025</v>
      </c>
    </row>
    <row r="270" spans="2:32" ht="12.75" customHeight="1">
      <c r="B270" s="312"/>
      <c r="C270" s="344"/>
      <c r="D270" s="10">
        <v>1203.5</v>
      </c>
      <c r="E270" s="5" t="s">
        <v>269</v>
      </c>
      <c r="F270" s="280">
        <v>11871</v>
      </c>
      <c r="G270" s="280">
        <v>11871</v>
      </c>
      <c r="H270" s="280">
        <v>41560</v>
      </c>
      <c r="I270" s="280">
        <v>44080</v>
      </c>
      <c r="J270" s="281">
        <v>67691</v>
      </c>
      <c r="K270" s="280">
        <v>10870</v>
      </c>
      <c r="L270" s="280">
        <v>10664</v>
      </c>
      <c r="M270" s="280">
        <v>28128</v>
      </c>
      <c r="N270" s="283">
        <v>10870</v>
      </c>
      <c r="O270" s="285">
        <v>10870</v>
      </c>
      <c r="P270" s="215">
        <v>40854</v>
      </c>
      <c r="Q270" s="285">
        <v>21335</v>
      </c>
      <c r="R270" s="285">
        <v>20743</v>
      </c>
      <c r="S270" s="285">
        <v>7443</v>
      </c>
      <c r="T270" s="285">
        <v>687</v>
      </c>
      <c r="U270" s="176"/>
      <c r="V270" s="176"/>
      <c r="W270" s="176"/>
      <c r="X270" s="176"/>
      <c r="Y270" s="5"/>
      <c r="AA270" s="12"/>
      <c r="AB270" s="12"/>
      <c r="AC270" s="12"/>
      <c r="AD270" s="12"/>
      <c r="AE270" s="278">
        <f t="shared" si="58"/>
        <v>339537</v>
      </c>
    </row>
    <row r="271" spans="2:32">
      <c r="B271" s="313"/>
      <c r="C271" s="345"/>
      <c r="D271" s="10"/>
      <c r="E271" s="5" t="s">
        <v>271</v>
      </c>
      <c r="F271" s="179"/>
      <c r="G271" s="179"/>
      <c r="H271" s="179"/>
      <c r="I271" s="179"/>
      <c r="J271" s="230">
        <v>-40854</v>
      </c>
      <c r="K271" s="280"/>
      <c r="L271" s="179"/>
      <c r="M271" s="280"/>
      <c r="N271" s="180"/>
      <c r="O271" s="176"/>
      <c r="P271" s="180"/>
      <c r="Q271" s="176"/>
      <c r="R271" s="176"/>
      <c r="S271" s="176"/>
      <c r="T271" s="176"/>
      <c r="U271" s="176"/>
      <c r="V271" s="176"/>
      <c r="W271" s="176"/>
      <c r="X271" s="176"/>
      <c r="Y271" s="5"/>
      <c r="AA271" s="12"/>
      <c r="AB271" s="12"/>
      <c r="AC271" s="12"/>
      <c r="AD271" s="12"/>
      <c r="AE271" s="278">
        <f t="shared" si="58"/>
        <v>-40854</v>
      </c>
    </row>
    <row r="272" spans="2:32">
      <c r="B272" s="311" t="s">
        <v>276</v>
      </c>
      <c r="C272" s="343">
        <v>43739</v>
      </c>
      <c r="D272" s="10">
        <v>1184</v>
      </c>
      <c r="E272" s="145" t="s">
        <v>277</v>
      </c>
      <c r="F272" s="177"/>
      <c r="G272" s="177"/>
      <c r="H272" s="177"/>
      <c r="I272" s="177"/>
      <c r="J272" s="177"/>
      <c r="K272" s="179"/>
      <c r="L272" s="179"/>
      <c r="M272" s="179"/>
      <c r="N272" s="180"/>
      <c r="O272" s="176"/>
      <c r="P272" s="180"/>
      <c r="Q272" s="176"/>
      <c r="R272" s="176"/>
      <c r="S272" s="176">
        <v>1562500</v>
      </c>
      <c r="T272" s="176"/>
      <c r="U272" s="176">
        <v>41047298</v>
      </c>
      <c r="V272" s="176"/>
      <c r="W272" s="176"/>
      <c r="X272" s="176"/>
      <c r="Y272" s="5"/>
      <c r="AA272" s="12"/>
      <c r="AB272" s="12"/>
      <c r="AC272" s="12"/>
      <c r="AD272" s="12"/>
      <c r="AE272" s="278">
        <f t="shared" si="58"/>
        <v>42609798</v>
      </c>
      <c r="AF272" s="45">
        <f>SUM(AE272:AE274)</f>
        <v>43251690</v>
      </c>
    </row>
    <row r="273" spans="2:32">
      <c r="B273" s="312"/>
      <c r="C273" s="344"/>
      <c r="D273" s="10">
        <v>1184</v>
      </c>
      <c r="E273" s="145" t="s">
        <v>278</v>
      </c>
      <c r="F273" s="177"/>
      <c r="G273" s="177"/>
      <c r="H273" s="177"/>
      <c r="I273" s="177"/>
      <c r="J273" s="177"/>
      <c r="K273" s="179"/>
      <c r="L273" s="179"/>
      <c r="M273" s="179"/>
      <c r="N273" s="180"/>
      <c r="O273" s="176"/>
      <c r="P273" s="180"/>
      <c r="Q273" s="176"/>
      <c r="R273" s="176"/>
      <c r="S273" s="176"/>
      <c r="T273" s="176">
        <v>194257</v>
      </c>
      <c r="U273" s="176">
        <v>194257</v>
      </c>
      <c r="V273" s="176"/>
      <c r="W273" s="176"/>
      <c r="X273" s="176"/>
      <c r="Y273" s="5"/>
      <c r="AA273" s="12"/>
      <c r="AB273" s="12"/>
      <c r="AC273" s="12"/>
      <c r="AD273" s="12"/>
      <c r="AE273" s="278">
        <f t="shared" si="58"/>
        <v>388514</v>
      </c>
    </row>
    <row r="274" spans="2:32">
      <c r="B274" s="313"/>
      <c r="C274" s="345"/>
      <c r="D274" s="10">
        <v>1184</v>
      </c>
      <c r="E274" s="145" t="s">
        <v>280</v>
      </c>
      <c r="F274" s="177"/>
      <c r="G274" s="177"/>
      <c r="H274" s="177"/>
      <c r="I274" s="177"/>
      <c r="J274" s="177"/>
      <c r="K274" s="179"/>
      <c r="L274" s="179"/>
      <c r="M274" s="179"/>
      <c r="N274" s="180"/>
      <c r="O274" s="176"/>
      <c r="P274" s="180"/>
      <c r="Q274" s="176"/>
      <c r="R274" s="176"/>
      <c r="S274" s="176"/>
      <c r="T274" s="176"/>
      <c r="U274" s="176"/>
      <c r="V274" s="176"/>
      <c r="W274" s="176"/>
      <c r="X274" s="176"/>
      <c r="Y274" s="5">
        <v>253378</v>
      </c>
      <c r="AA274" s="12"/>
      <c r="AB274" s="12"/>
      <c r="AC274" s="12"/>
      <c r="AD274" s="12"/>
      <c r="AE274" s="278">
        <f t="shared" si="58"/>
        <v>253378</v>
      </c>
    </row>
    <row r="275" spans="2:32">
      <c r="B275" s="337" t="s">
        <v>284</v>
      </c>
      <c r="C275" s="334">
        <v>43770</v>
      </c>
      <c r="D275" s="340">
        <v>1169.5</v>
      </c>
      <c r="E275" s="145" t="s">
        <v>285</v>
      </c>
      <c r="F275" s="177"/>
      <c r="G275" s="177"/>
      <c r="H275" s="177"/>
      <c r="I275" s="177"/>
      <c r="J275" s="177">
        <v>1710133</v>
      </c>
      <c r="K275" s="177"/>
      <c r="L275" s="177"/>
      <c r="M275" s="177"/>
      <c r="N275" s="180"/>
      <c r="O275" s="180"/>
      <c r="P275" s="180"/>
      <c r="Q275" s="180">
        <v>11115861</v>
      </c>
      <c r="R275" s="180"/>
      <c r="S275" s="180">
        <f>1828293-S276</f>
        <v>864833</v>
      </c>
      <c r="T275" s="180">
        <f>2557749-T276</f>
        <v>1702905</v>
      </c>
      <c r="U275" s="180">
        <v>5985464</v>
      </c>
      <c r="V275" s="180"/>
      <c r="W275" s="180"/>
      <c r="X275" s="180"/>
      <c r="Y275" s="145"/>
      <c r="AA275" s="104"/>
      <c r="AB275" s="104"/>
      <c r="AC275" s="104"/>
      <c r="AD275" s="104"/>
      <c r="AE275" s="276">
        <f t="shared" si="58"/>
        <v>21379196</v>
      </c>
      <c r="AF275" s="45">
        <f>SUM(AE275:AE276)</f>
        <v>25514919</v>
      </c>
    </row>
    <row r="276" spans="2:32">
      <c r="B276" s="339"/>
      <c r="C276" s="336"/>
      <c r="D276" s="342"/>
      <c r="E276" s="145" t="s">
        <v>286</v>
      </c>
      <c r="F276" s="177">
        <v>280365</v>
      </c>
      <c r="G276" s="177">
        <v>48663</v>
      </c>
      <c r="H276" s="216"/>
      <c r="I276" s="177">
        <v>174250</v>
      </c>
      <c r="J276" s="177">
        <v>24861</v>
      </c>
      <c r="K276" s="177">
        <v>77301</v>
      </c>
      <c r="L276" s="177">
        <v>248608</v>
      </c>
      <c r="M276" s="177">
        <v>140152</v>
      </c>
      <c r="N276" s="180">
        <v>245510</v>
      </c>
      <c r="O276" s="180">
        <v>386622</v>
      </c>
      <c r="P276" s="180"/>
      <c r="Q276" s="180">
        <f>120527+257719</f>
        <v>378246</v>
      </c>
      <c r="R276" s="180">
        <v>312841</v>
      </c>
      <c r="S276" s="180">
        <f>96020+422711+444729</f>
        <v>963460</v>
      </c>
      <c r="T276" s="180">
        <f>94784+311475+448585</f>
        <v>854844</v>
      </c>
      <c r="U276" s="180"/>
      <c r="V276" s="180"/>
      <c r="W276" s="180"/>
      <c r="X276" s="180"/>
      <c r="Y276" s="145"/>
      <c r="AA276" s="104"/>
      <c r="AB276" s="104"/>
      <c r="AC276" s="104"/>
      <c r="AD276" s="104"/>
      <c r="AE276" s="276">
        <f t="shared" si="58"/>
        <v>4135723</v>
      </c>
    </row>
    <row r="277" spans="2:32">
      <c r="B277" s="143" t="s">
        <v>287</v>
      </c>
      <c r="C277" s="144">
        <v>43804</v>
      </c>
      <c r="D277" s="152">
        <v>1152.0999999999999</v>
      </c>
      <c r="E277" s="141" t="s">
        <v>288</v>
      </c>
      <c r="F277" s="177"/>
      <c r="G277" s="177"/>
      <c r="H277" s="177"/>
      <c r="I277" s="177"/>
      <c r="J277" s="177"/>
      <c r="K277" s="179"/>
      <c r="L277" s="179"/>
      <c r="M277" s="179"/>
      <c r="N277" s="180"/>
      <c r="O277" s="176"/>
      <c r="P277" s="180"/>
      <c r="Q277" s="176"/>
      <c r="R277" s="176"/>
      <c r="S277" s="176"/>
      <c r="T277" s="176">
        <v>3905911</v>
      </c>
      <c r="U277" s="176"/>
      <c r="V277" s="176"/>
      <c r="W277" s="176"/>
      <c r="X277" s="176"/>
      <c r="Y277" s="5"/>
      <c r="AA277" s="12"/>
      <c r="AB277" s="12"/>
      <c r="AC277" s="12"/>
      <c r="AD277" s="12"/>
      <c r="AE277" s="278">
        <f t="shared" si="58"/>
        <v>3905911</v>
      </c>
    </row>
    <row r="278" spans="2:32">
      <c r="B278" s="361" t="s">
        <v>291</v>
      </c>
      <c r="C278" s="352">
        <v>43819</v>
      </c>
      <c r="D278" s="359">
        <v>1167.8</v>
      </c>
      <c r="E278" s="145" t="s">
        <v>292</v>
      </c>
      <c r="F278" s="177">
        <v>279424</v>
      </c>
      <c r="G278" s="177">
        <v>38508</v>
      </c>
      <c r="H278" s="177"/>
      <c r="I278" s="177">
        <v>93283</v>
      </c>
      <c r="J278" s="177">
        <v>329320</v>
      </c>
      <c r="K278" s="179">
        <v>9129</v>
      </c>
      <c r="L278" s="179">
        <v>141836</v>
      </c>
      <c r="M278" s="179">
        <v>138587</v>
      </c>
      <c r="N278" s="180">
        <v>93799</v>
      </c>
      <c r="O278" s="176">
        <v>326373</v>
      </c>
      <c r="P278" s="180"/>
      <c r="Q278" s="176">
        <v>398482</v>
      </c>
      <c r="R278" s="176">
        <v>162290</v>
      </c>
      <c r="S278" s="176">
        <v>528496</v>
      </c>
      <c r="T278" s="176">
        <v>483023</v>
      </c>
      <c r="U278" s="176">
        <v>1231291</v>
      </c>
      <c r="V278" s="176"/>
      <c r="W278" s="176"/>
      <c r="X278" s="176"/>
      <c r="Y278" s="5"/>
      <c r="AA278" s="12"/>
      <c r="AB278" s="12"/>
      <c r="AC278" s="12"/>
      <c r="AD278" s="12"/>
      <c r="AE278" s="278">
        <f t="shared" si="58"/>
        <v>4253841</v>
      </c>
      <c r="AF278" s="45">
        <f>SUM(AE278:AE279)</f>
        <v>4308645</v>
      </c>
    </row>
    <row r="279" spans="2:32">
      <c r="B279" s="363"/>
      <c r="C279" s="354"/>
      <c r="D279" s="360"/>
      <c r="E279" s="141" t="s">
        <v>293</v>
      </c>
      <c r="F279" s="177"/>
      <c r="G279" s="177"/>
      <c r="H279" s="177"/>
      <c r="I279" s="177"/>
      <c r="J279" s="177"/>
      <c r="K279" s="179"/>
      <c r="L279" s="179">
        <v>54804</v>
      </c>
      <c r="M279" s="179"/>
      <c r="N279" s="180"/>
      <c r="O279" s="176"/>
      <c r="P279" s="180"/>
      <c r="Q279" s="176"/>
      <c r="R279" s="176"/>
      <c r="S279" s="176"/>
      <c r="T279" s="176"/>
      <c r="U279" s="176"/>
      <c r="V279" s="176"/>
      <c r="W279" s="176"/>
      <c r="X279" s="176"/>
      <c r="Y279" s="5"/>
      <c r="AA279" s="12"/>
      <c r="AB279" s="12"/>
      <c r="AC279" s="12"/>
      <c r="AD279" s="12"/>
      <c r="AE279" s="278">
        <f t="shared" si="58"/>
        <v>54804</v>
      </c>
    </row>
    <row r="280" spans="2:32">
      <c r="B280" s="143" t="s">
        <v>296</v>
      </c>
      <c r="C280" s="144">
        <v>43839</v>
      </c>
      <c r="D280" s="159">
        <v>1151.3</v>
      </c>
      <c r="E280" s="145" t="s">
        <v>54</v>
      </c>
      <c r="F280" s="177"/>
      <c r="G280" s="177"/>
      <c r="H280" s="177"/>
      <c r="I280" s="177"/>
      <c r="J280" s="177"/>
      <c r="K280" s="179"/>
      <c r="L280" s="179"/>
      <c r="M280" s="179"/>
      <c r="N280" s="180"/>
      <c r="O280" s="176">
        <v>6080083</v>
      </c>
      <c r="P280" s="180"/>
      <c r="Q280" s="176"/>
      <c r="R280" s="176"/>
      <c r="S280" s="176"/>
      <c r="T280" s="176"/>
      <c r="U280" s="176"/>
      <c r="V280" s="176"/>
      <c r="W280" s="176"/>
      <c r="X280" s="176"/>
      <c r="Y280" s="5"/>
      <c r="AA280" s="12"/>
      <c r="AB280" s="12"/>
      <c r="AC280" s="12"/>
      <c r="AD280" s="12"/>
      <c r="AE280" s="278">
        <f t="shared" si="58"/>
        <v>6080083</v>
      </c>
    </row>
    <row r="281" spans="2:32">
      <c r="B281" s="143" t="s">
        <v>297</v>
      </c>
      <c r="C281" s="144">
        <v>43851</v>
      </c>
      <c r="D281" s="159">
        <v>1151.4000000000001</v>
      </c>
      <c r="E281" s="145" t="s">
        <v>298</v>
      </c>
      <c r="F281" s="177"/>
      <c r="G281" s="177"/>
      <c r="H281" s="177"/>
      <c r="I281" s="177"/>
      <c r="J281" s="177"/>
      <c r="K281" s="179"/>
      <c r="L281" s="179"/>
      <c r="M281" s="179"/>
      <c r="N281" s="180"/>
      <c r="O281" s="176"/>
      <c r="P281" s="180"/>
      <c r="Q281" s="176"/>
      <c r="R281" s="176"/>
      <c r="S281" s="176"/>
      <c r="T281" s="176"/>
      <c r="U281" s="176"/>
      <c r="V281" s="176">
        <v>7923532</v>
      </c>
      <c r="W281" s="176"/>
      <c r="X281" s="176"/>
      <c r="Y281" s="5">
        <f>240000+260552</f>
        <v>500552</v>
      </c>
      <c r="AA281" s="12"/>
      <c r="AB281" s="12"/>
      <c r="AC281" s="12"/>
      <c r="AD281" s="12"/>
      <c r="AE281" s="278">
        <f t="shared" si="58"/>
        <v>8424084</v>
      </c>
    </row>
    <row r="282" spans="2:32">
      <c r="B282" s="143" t="s">
        <v>301</v>
      </c>
      <c r="C282" s="160">
        <v>43800</v>
      </c>
      <c r="D282" s="159">
        <v>1167.8</v>
      </c>
      <c r="E282" s="145" t="s">
        <v>300</v>
      </c>
      <c r="F282" s="177"/>
      <c r="G282" s="177"/>
      <c r="H282" s="177"/>
      <c r="I282" s="177"/>
      <c r="J282" s="177"/>
      <c r="K282" s="179"/>
      <c r="L282" s="179"/>
      <c r="M282" s="179"/>
      <c r="N282" s="180"/>
      <c r="O282" s="176"/>
      <c r="P282" s="180"/>
      <c r="Q282" s="176"/>
      <c r="R282" s="176"/>
      <c r="S282" s="176"/>
      <c r="T282" s="176"/>
      <c r="U282" s="176"/>
      <c r="V282" s="176"/>
      <c r="W282" s="176"/>
      <c r="X282" s="176"/>
      <c r="Y282" s="5"/>
      <c r="AA282" s="12"/>
      <c r="AB282" s="12"/>
      <c r="AC282" s="12"/>
      <c r="AD282" s="12"/>
      <c r="AE282" s="278">
        <f t="shared" si="58"/>
        <v>0</v>
      </c>
    </row>
    <row r="283" spans="2:32">
      <c r="B283" s="143" t="s">
        <v>301</v>
      </c>
      <c r="C283" s="160">
        <v>43880</v>
      </c>
      <c r="D283" s="159">
        <v>1218.8</v>
      </c>
      <c r="E283" s="145" t="s">
        <v>300</v>
      </c>
      <c r="F283" s="177"/>
      <c r="G283" s="177"/>
      <c r="H283" s="177"/>
      <c r="I283" s="177"/>
      <c r="J283" s="177"/>
      <c r="K283" s="179"/>
      <c r="L283" s="179"/>
      <c r="M283" s="179"/>
      <c r="N283" s="180"/>
      <c r="O283" s="176"/>
      <c r="P283" s="180"/>
      <c r="Q283" s="176"/>
      <c r="R283" s="176"/>
      <c r="S283" s="176"/>
      <c r="T283" s="176"/>
      <c r="U283" s="176"/>
      <c r="V283" s="176"/>
      <c r="W283" s="176"/>
      <c r="X283" s="176"/>
      <c r="Y283" s="5"/>
      <c r="AA283" s="12"/>
      <c r="AB283" s="12"/>
      <c r="AC283" s="12"/>
      <c r="AD283" s="12"/>
      <c r="AE283" s="278">
        <f t="shared" si="58"/>
        <v>0</v>
      </c>
    </row>
    <row r="284" spans="2:32">
      <c r="B284" s="143" t="s">
        <v>302</v>
      </c>
      <c r="C284" s="144">
        <v>43915</v>
      </c>
      <c r="D284" s="159">
        <v>1181.2</v>
      </c>
      <c r="E284" s="145" t="s">
        <v>303</v>
      </c>
      <c r="F284" s="177"/>
      <c r="G284" s="177"/>
      <c r="H284" s="177"/>
      <c r="I284" s="177"/>
      <c r="J284" s="177"/>
      <c r="K284" s="179"/>
      <c r="L284" s="179"/>
      <c r="M284" s="179"/>
      <c r="N284" s="180"/>
      <c r="O284" s="176">
        <v>9566543</v>
      </c>
      <c r="P284" s="180"/>
      <c r="Q284" s="176"/>
      <c r="R284" s="176"/>
      <c r="S284" s="176"/>
      <c r="T284" s="176"/>
      <c r="U284" s="176"/>
      <c r="V284" s="176">
        <v>2144006</v>
      </c>
      <c r="W284" s="176"/>
      <c r="X284" s="176"/>
      <c r="Y284" s="5"/>
      <c r="AA284" s="12"/>
      <c r="AB284" s="12"/>
      <c r="AC284" s="12"/>
      <c r="AD284" s="12"/>
      <c r="AE284" s="278">
        <f t="shared" si="58"/>
        <v>11710549</v>
      </c>
    </row>
    <row r="285" spans="2:32" ht="20.25" customHeight="1">
      <c r="B285" s="373" t="s">
        <v>313</v>
      </c>
      <c r="C285" s="144">
        <v>43999</v>
      </c>
      <c r="D285" s="159">
        <v>1216.9000000000001</v>
      </c>
      <c r="E285" s="145" t="s">
        <v>310</v>
      </c>
      <c r="F285" s="177"/>
      <c r="G285" s="177"/>
      <c r="H285" s="177"/>
      <c r="I285" s="177"/>
      <c r="J285" s="177"/>
      <c r="K285" s="179"/>
      <c r="L285" s="179"/>
      <c r="M285" s="179"/>
      <c r="N285" s="180"/>
      <c r="O285" s="176"/>
      <c r="P285" s="180"/>
      <c r="Q285" s="176"/>
      <c r="R285" s="176"/>
      <c r="S285" s="176"/>
      <c r="T285" s="176"/>
      <c r="U285" s="217">
        <v>2485019</v>
      </c>
      <c r="V285" s="176">
        <v>887501</v>
      </c>
      <c r="W285" s="176"/>
      <c r="X285" s="176"/>
      <c r="Y285" s="5"/>
      <c r="AA285" s="12"/>
      <c r="AB285" s="12"/>
      <c r="AC285" s="12"/>
      <c r="AD285" s="12"/>
      <c r="AE285" s="278">
        <f t="shared" si="58"/>
        <v>3372520</v>
      </c>
      <c r="AF285" s="45">
        <f>SUM(AE285:AE287)</f>
        <v>7248447</v>
      </c>
    </row>
    <row r="286" spans="2:32" ht="20.25" customHeight="1">
      <c r="B286" s="374"/>
      <c r="C286" s="144">
        <v>43999</v>
      </c>
      <c r="D286" s="159">
        <v>1216.9000000000001</v>
      </c>
      <c r="E286" s="145" t="s">
        <v>311</v>
      </c>
      <c r="F286" s="177">
        <v>283548</v>
      </c>
      <c r="G286" s="238">
        <v>39731</v>
      </c>
      <c r="H286" s="177">
        <v>174418</v>
      </c>
      <c r="I286" s="177">
        <v>155436</v>
      </c>
      <c r="J286" s="177">
        <v>29383</v>
      </c>
      <c r="K286" s="179">
        <v>61671</v>
      </c>
      <c r="L286" s="179">
        <v>265661</v>
      </c>
      <c r="M286" s="179"/>
      <c r="N286" s="180">
        <v>249844</v>
      </c>
      <c r="O286" s="176">
        <v>401592</v>
      </c>
      <c r="P286" s="193">
        <v>1137</v>
      </c>
      <c r="Q286" s="176">
        <v>267405</v>
      </c>
      <c r="R286" s="176">
        <v>140536</v>
      </c>
      <c r="S286" s="176">
        <v>439861</v>
      </c>
      <c r="T286" s="176">
        <v>489203</v>
      </c>
      <c r="U286" s="176">
        <v>772297</v>
      </c>
      <c r="V286" s="176">
        <v>105341</v>
      </c>
      <c r="W286" s="176"/>
      <c r="X286" s="176"/>
      <c r="Y286" s="5"/>
      <c r="AA286" s="12"/>
      <c r="AB286" s="12"/>
      <c r="AC286" s="12"/>
      <c r="AD286" s="12"/>
      <c r="AE286" s="278">
        <f t="shared" si="58"/>
        <v>3877064</v>
      </c>
      <c r="AF286" s="7"/>
    </row>
    <row r="287" spans="2:32">
      <c r="B287" s="375"/>
      <c r="C287" s="8"/>
      <c r="D287" s="8"/>
      <c r="E287" s="102" t="s">
        <v>270</v>
      </c>
      <c r="F287" s="177"/>
      <c r="G287" s="177"/>
      <c r="H287" s="177"/>
      <c r="I287" s="177"/>
      <c r="J287" s="230">
        <v>-1137</v>
      </c>
      <c r="K287" s="179"/>
      <c r="L287" s="179"/>
      <c r="M287" s="179"/>
      <c r="N287" s="180"/>
      <c r="O287" s="176"/>
      <c r="P287" s="180"/>
      <c r="Q287" s="176"/>
      <c r="R287" s="176"/>
      <c r="S287" s="176"/>
      <c r="T287" s="176"/>
      <c r="U287" s="176"/>
      <c r="V287" s="176"/>
      <c r="W287" s="176"/>
      <c r="X287" s="176"/>
      <c r="Y287" s="5"/>
      <c r="AA287" s="12"/>
      <c r="AB287" s="12"/>
      <c r="AC287" s="12"/>
      <c r="AD287" s="12"/>
      <c r="AE287" s="45">
        <f t="shared" si="58"/>
        <v>-1137</v>
      </c>
      <c r="AF287" s="25"/>
    </row>
    <row r="288" spans="2:32">
      <c r="B288" s="34" t="s">
        <v>314</v>
      </c>
      <c r="C288" s="32">
        <v>44041</v>
      </c>
      <c r="D288" s="173">
        <v>1192.3</v>
      </c>
      <c r="E288" s="5" t="s">
        <v>315</v>
      </c>
      <c r="F288" s="177"/>
      <c r="G288" s="177"/>
      <c r="H288" s="177"/>
      <c r="I288" s="177"/>
      <c r="J288" s="178"/>
      <c r="K288" s="179"/>
      <c r="L288" s="179"/>
      <c r="M288" s="179"/>
      <c r="N288" s="180"/>
      <c r="O288" s="176"/>
      <c r="P288" s="180"/>
      <c r="Q288" s="176"/>
      <c r="R288" s="176">
        <v>670972</v>
      </c>
      <c r="S288" s="176">
        <v>3606475</v>
      </c>
      <c r="T288" s="176"/>
      <c r="U288" s="176"/>
      <c r="V288" s="176">
        <v>18032374</v>
      </c>
      <c r="W288" s="176"/>
      <c r="X288" s="176"/>
      <c r="Y288" s="5"/>
      <c r="AA288" s="12"/>
      <c r="AB288" s="12"/>
      <c r="AC288" s="12"/>
      <c r="AD288" s="12"/>
      <c r="AE288" s="45">
        <f t="shared" si="58"/>
        <v>22309821</v>
      </c>
      <c r="AF288" s="7"/>
    </row>
    <row r="289" spans="2:32">
      <c r="B289" s="311" t="s">
        <v>321</v>
      </c>
      <c r="C289" s="343">
        <v>44078</v>
      </c>
      <c r="D289" s="325">
        <v>1174.7</v>
      </c>
      <c r="E289" s="5" t="s">
        <v>323</v>
      </c>
      <c r="F289" s="177"/>
      <c r="G289" s="177"/>
      <c r="H289" s="177"/>
      <c r="I289" s="177"/>
      <c r="J289" s="178"/>
      <c r="K289" s="179"/>
      <c r="L289" s="179"/>
      <c r="M289" s="179"/>
      <c r="N289" s="180"/>
      <c r="O289" s="176"/>
      <c r="P289" s="180"/>
      <c r="Q289" s="176"/>
      <c r="R289" s="176"/>
      <c r="S289" s="176"/>
      <c r="T289" s="176"/>
      <c r="U289" s="176"/>
      <c r="V289" s="176"/>
      <c r="W289" s="176">
        <v>2775177</v>
      </c>
      <c r="X289" s="176"/>
      <c r="Y289" s="5"/>
      <c r="AA289" s="12"/>
      <c r="AB289" s="12"/>
      <c r="AC289" s="12"/>
      <c r="AD289" s="12"/>
      <c r="AE289" s="45">
        <f t="shared" si="58"/>
        <v>2775177</v>
      </c>
      <c r="AF289" s="45">
        <f>SUM(AE289:AE292)</f>
        <v>7859732</v>
      </c>
    </row>
    <row r="290" spans="2:32">
      <c r="B290" s="312"/>
      <c r="C290" s="344"/>
      <c r="D290" s="326"/>
      <c r="E290" s="5" t="s">
        <v>329</v>
      </c>
      <c r="F290" s="177"/>
      <c r="G290" s="177"/>
      <c r="H290" s="177"/>
      <c r="I290" s="177"/>
      <c r="J290" s="178"/>
      <c r="K290" s="179"/>
      <c r="L290" s="179"/>
      <c r="M290" s="179"/>
      <c r="N290" s="180"/>
      <c r="O290" s="176"/>
      <c r="P290" s="180"/>
      <c r="Q290" s="176"/>
      <c r="R290" s="176"/>
      <c r="S290" s="176"/>
      <c r="T290" s="176"/>
      <c r="U290" s="176"/>
      <c r="V290" s="176">
        <v>195795</v>
      </c>
      <c r="W290" s="176">
        <v>195795</v>
      </c>
      <c r="X290" s="176"/>
      <c r="Y290" s="5"/>
      <c r="AA290" s="12"/>
      <c r="AB290" s="12"/>
      <c r="AC290" s="12"/>
      <c r="AD290" s="12"/>
      <c r="AE290" s="45">
        <f t="shared" si="58"/>
        <v>391590</v>
      </c>
    </row>
    <row r="291" spans="2:32">
      <c r="B291" s="312"/>
      <c r="C291" s="344"/>
      <c r="D291" s="326"/>
      <c r="E291" s="145" t="s">
        <v>322</v>
      </c>
      <c r="F291" s="177">
        <v>276755</v>
      </c>
      <c r="G291" s="238">
        <v>37586</v>
      </c>
      <c r="H291" s="177">
        <v>183967</v>
      </c>
      <c r="I291" s="177">
        <v>82059</v>
      </c>
      <c r="J291" s="178">
        <v>28175</v>
      </c>
      <c r="K291" s="179">
        <v>11005</v>
      </c>
      <c r="L291" s="179">
        <v>14681</v>
      </c>
      <c r="M291" s="179"/>
      <c r="N291" s="180">
        <v>757920</v>
      </c>
      <c r="O291" s="176">
        <v>419271</v>
      </c>
      <c r="P291" s="180"/>
      <c r="Q291" s="176">
        <v>289278</v>
      </c>
      <c r="R291" s="176">
        <v>158716</v>
      </c>
      <c r="S291" s="176">
        <v>483677</v>
      </c>
      <c r="T291" s="176">
        <v>487348</v>
      </c>
      <c r="U291" s="176">
        <v>788284</v>
      </c>
      <c r="V291" s="176">
        <v>674243</v>
      </c>
      <c r="W291" s="176"/>
      <c r="X291" s="176"/>
      <c r="Y291" s="5"/>
      <c r="AA291" s="12"/>
      <c r="AB291" s="12"/>
      <c r="AC291" s="12"/>
      <c r="AD291" s="12"/>
      <c r="AE291" s="45">
        <f t="shared" si="58"/>
        <v>4692965</v>
      </c>
    </row>
    <row r="292" spans="2:32">
      <c r="B292" s="313"/>
      <c r="C292" s="345"/>
      <c r="D292" s="327"/>
      <c r="E292" s="145" t="s">
        <v>328</v>
      </c>
      <c r="F292" s="177"/>
      <c r="G292" s="177"/>
      <c r="H292" s="177"/>
      <c r="I292" s="177"/>
      <c r="J292" s="230">
        <v>-1137</v>
      </c>
      <c r="K292" s="179"/>
      <c r="L292" s="179"/>
      <c r="M292" s="179"/>
      <c r="N292" s="180"/>
      <c r="O292" s="176"/>
      <c r="P292" s="193">
        <v>1137</v>
      </c>
      <c r="Q292" s="176"/>
      <c r="R292" s="176"/>
      <c r="S292" s="176"/>
      <c r="T292" s="176"/>
      <c r="U292" s="176"/>
      <c r="V292" s="176"/>
      <c r="W292" s="176"/>
      <c r="X292" s="176"/>
      <c r="Y292" s="5"/>
      <c r="AA292" s="12"/>
      <c r="AB292" s="12"/>
      <c r="AC292" s="12"/>
      <c r="AD292" s="12"/>
      <c r="AE292" s="45">
        <f t="shared" si="58"/>
        <v>0</v>
      </c>
    </row>
    <row r="293" spans="2:32">
      <c r="B293" s="34" t="s">
        <v>335</v>
      </c>
      <c r="C293" s="32">
        <v>44097</v>
      </c>
      <c r="D293" s="173">
        <v>1172.5999999999999</v>
      </c>
      <c r="E293" s="142" t="s">
        <v>336</v>
      </c>
      <c r="F293" s="177"/>
      <c r="G293" s="177"/>
      <c r="H293" s="177"/>
      <c r="I293" s="177"/>
      <c r="J293" s="237"/>
      <c r="K293" s="179"/>
      <c r="L293" s="179"/>
      <c r="M293" s="179"/>
      <c r="N293" s="180"/>
      <c r="O293" s="176"/>
      <c r="P293" s="177"/>
      <c r="Q293" s="176"/>
      <c r="R293" s="176">
        <v>341122</v>
      </c>
      <c r="S293" s="176">
        <v>8272216</v>
      </c>
      <c r="T293" s="176"/>
      <c r="U293" s="176"/>
      <c r="V293" s="176"/>
      <c r="W293" s="176"/>
      <c r="X293" s="176"/>
      <c r="Y293" s="5"/>
      <c r="AA293" s="12"/>
      <c r="AB293" s="12"/>
      <c r="AC293" s="12"/>
      <c r="AD293" s="12"/>
      <c r="AE293" s="45">
        <f t="shared" si="58"/>
        <v>8613338</v>
      </c>
    </row>
    <row r="294" spans="2:32">
      <c r="B294" s="311" t="s">
        <v>341</v>
      </c>
      <c r="C294" s="343">
        <v>44131</v>
      </c>
      <c r="D294" s="325">
        <v>1134.5</v>
      </c>
      <c r="E294" s="142" t="s">
        <v>340</v>
      </c>
      <c r="F294" s="177"/>
      <c r="G294" s="177"/>
      <c r="H294" s="177"/>
      <c r="I294" s="177"/>
      <c r="J294" s="237"/>
      <c r="K294" s="179"/>
      <c r="L294" s="179"/>
      <c r="M294" s="179"/>
      <c r="N294" s="180"/>
      <c r="O294" s="176"/>
      <c r="P294" s="177"/>
      <c r="Q294" s="176"/>
      <c r="R294" s="176">
        <v>3585353</v>
      </c>
      <c r="S294" s="176"/>
      <c r="T294" s="176"/>
      <c r="U294" s="176"/>
      <c r="V294" s="176"/>
      <c r="W294" s="176"/>
      <c r="X294" s="176"/>
      <c r="Y294" s="5"/>
      <c r="AA294" s="12"/>
      <c r="AB294" s="12"/>
      <c r="AC294" s="12"/>
      <c r="AD294" s="12"/>
      <c r="AE294" s="45">
        <f t="shared" si="58"/>
        <v>3585353</v>
      </c>
      <c r="AF294" s="45">
        <f>SUM(AE294:AE296)</f>
        <v>7350821</v>
      </c>
    </row>
    <row r="295" spans="2:32">
      <c r="B295" s="312"/>
      <c r="C295" s="344"/>
      <c r="D295" s="326"/>
      <c r="E295" s="142" t="s">
        <v>339</v>
      </c>
      <c r="F295" s="177">
        <v>273005</v>
      </c>
      <c r="G295" s="177">
        <v>33196</v>
      </c>
      <c r="H295" s="177">
        <v>180449</v>
      </c>
      <c r="I295" s="177">
        <v>82133</v>
      </c>
      <c r="J295" s="237">
        <v>26793</v>
      </c>
      <c r="K295" s="179">
        <v>9828</v>
      </c>
      <c r="L295" s="179">
        <v>13755</v>
      </c>
      <c r="M295" s="179"/>
      <c r="N295" s="180">
        <v>58446</v>
      </c>
      <c r="O295" s="176">
        <v>272553</v>
      </c>
      <c r="P295" s="193">
        <v>1154</v>
      </c>
      <c r="Q295" s="176">
        <v>120193</v>
      </c>
      <c r="R295" s="176">
        <v>176202</v>
      </c>
      <c r="S295" s="176">
        <v>574987</v>
      </c>
      <c r="T295" s="176">
        <v>498304</v>
      </c>
      <c r="U295" s="176">
        <v>743514</v>
      </c>
      <c r="V295" s="176">
        <v>587404</v>
      </c>
      <c r="W295" s="176">
        <v>114706</v>
      </c>
      <c r="X295" s="176"/>
      <c r="Y295" s="5"/>
      <c r="AA295" s="12"/>
      <c r="AB295" s="12"/>
      <c r="AC295" s="12"/>
      <c r="AD295" s="12"/>
      <c r="AE295" s="45">
        <f t="shared" si="58"/>
        <v>3766622</v>
      </c>
    </row>
    <row r="296" spans="2:32">
      <c r="B296" s="313"/>
      <c r="C296" s="345"/>
      <c r="D296" s="327"/>
      <c r="E296" s="102" t="s">
        <v>342</v>
      </c>
      <c r="F296" s="177"/>
      <c r="G296" s="177"/>
      <c r="H296" s="177"/>
      <c r="I296" s="177"/>
      <c r="J296" s="230">
        <v>-1154</v>
      </c>
      <c r="K296" s="179"/>
      <c r="L296" s="179"/>
      <c r="M296" s="179"/>
      <c r="N296" s="180"/>
      <c r="O296" s="176"/>
      <c r="P296" s="177"/>
      <c r="Q296" s="176"/>
      <c r="R296" s="176"/>
      <c r="S296" s="176"/>
      <c r="T296" s="176"/>
      <c r="U296" s="176"/>
      <c r="V296" s="176"/>
      <c r="W296" s="176"/>
      <c r="X296" s="176"/>
      <c r="Y296" s="5"/>
      <c r="AA296" s="12"/>
      <c r="AB296" s="12"/>
      <c r="AC296" s="12"/>
      <c r="AD296" s="12"/>
      <c r="AE296" s="45">
        <f t="shared" si="58"/>
        <v>-1154</v>
      </c>
    </row>
    <row r="297" spans="2:32">
      <c r="B297" s="311" t="s">
        <v>355</v>
      </c>
      <c r="C297" s="334">
        <v>44183</v>
      </c>
      <c r="D297" s="325">
        <v>1082.7</v>
      </c>
      <c r="E297" s="102" t="s">
        <v>356</v>
      </c>
      <c r="F297" s="177"/>
      <c r="G297" s="177"/>
      <c r="H297" s="177"/>
      <c r="I297" s="177"/>
      <c r="J297" s="237"/>
      <c r="K297" s="179"/>
      <c r="L297" s="179"/>
      <c r="M297" s="179"/>
      <c r="N297" s="180"/>
      <c r="O297" s="176"/>
      <c r="P297" s="177"/>
      <c r="Q297" s="176"/>
      <c r="R297" s="176"/>
      <c r="S297" s="176">
        <v>2031957</v>
      </c>
      <c r="T297" s="176"/>
      <c r="U297" s="176"/>
      <c r="V297" s="176"/>
      <c r="W297" s="176"/>
      <c r="X297" s="176">
        <v>3232660</v>
      </c>
      <c r="Y297" s="5">
        <v>277085</v>
      </c>
      <c r="AA297" s="12"/>
      <c r="AB297" s="12"/>
      <c r="AC297" s="12"/>
      <c r="AD297" s="12"/>
      <c r="AE297" s="45">
        <f t="shared" si="58"/>
        <v>5541702</v>
      </c>
      <c r="AF297" s="45">
        <f>SUM(AE297:AE298)</f>
        <v>5754134</v>
      </c>
    </row>
    <row r="298" spans="2:32">
      <c r="B298" s="313"/>
      <c r="C298" s="336"/>
      <c r="D298" s="327"/>
      <c r="E298" s="102" t="s">
        <v>358</v>
      </c>
      <c r="F298" s="177"/>
      <c r="G298" s="177"/>
      <c r="H298" s="177"/>
      <c r="I298" s="177"/>
      <c r="J298" s="237"/>
      <c r="K298" s="179"/>
      <c r="L298" s="179"/>
      <c r="M298" s="179"/>
      <c r="N298" s="180"/>
      <c r="O298" s="176"/>
      <c r="P298" s="177"/>
      <c r="Q298" s="176"/>
      <c r="R298" s="176"/>
      <c r="S298" s="176"/>
      <c r="T298" s="176"/>
      <c r="U298" s="176"/>
      <c r="V298" s="176"/>
      <c r="W298" s="176"/>
      <c r="X298" s="176">
        <v>212432</v>
      </c>
      <c r="Y298" s="5"/>
      <c r="AA298" s="12"/>
      <c r="AB298" s="12"/>
      <c r="AC298" s="12"/>
      <c r="AD298" s="12"/>
      <c r="AE298" s="45">
        <f t="shared" si="58"/>
        <v>212432</v>
      </c>
    </row>
    <row r="299" spans="2:32">
      <c r="B299" s="311" t="s">
        <v>363</v>
      </c>
      <c r="C299" s="334">
        <v>44230</v>
      </c>
      <c r="D299" s="325">
        <v>1085.08</v>
      </c>
      <c r="E299" s="102" t="s">
        <v>364</v>
      </c>
      <c r="F299" s="177"/>
      <c r="G299" s="177"/>
      <c r="H299" s="177"/>
      <c r="I299" s="177"/>
      <c r="J299" s="237"/>
      <c r="K299" s="179"/>
      <c r="L299" s="179"/>
      <c r="M299" s="179"/>
      <c r="N299" s="180"/>
      <c r="O299" s="176"/>
      <c r="P299" s="177"/>
      <c r="Q299" s="176"/>
      <c r="R299" s="176">
        <v>2303978</v>
      </c>
      <c r="S299" s="176">
        <v>10137501</v>
      </c>
      <c r="T299" s="176"/>
      <c r="U299" s="176">
        <v>460795</v>
      </c>
      <c r="V299" s="176"/>
      <c r="W299" s="176"/>
      <c r="X299" s="176"/>
      <c r="Y299" s="5"/>
      <c r="AA299" s="12"/>
      <c r="AB299" s="12"/>
      <c r="AC299" s="12"/>
      <c r="AD299" s="12"/>
      <c r="AE299" s="45">
        <f t="shared" si="58"/>
        <v>12902274</v>
      </c>
      <c r="AF299" s="45">
        <f>SUM(AE299:AE301)</f>
        <v>16666838</v>
      </c>
    </row>
    <row r="300" spans="2:32">
      <c r="B300" s="312"/>
      <c r="C300" s="335"/>
      <c r="D300" s="326"/>
      <c r="E300" s="102" t="s">
        <v>365</v>
      </c>
      <c r="F300" s="177">
        <v>267457</v>
      </c>
      <c r="G300" s="177">
        <v>24133</v>
      </c>
      <c r="H300" s="177">
        <v>134383</v>
      </c>
      <c r="I300" s="177">
        <v>86038</v>
      </c>
      <c r="J300" s="237">
        <v>22536</v>
      </c>
      <c r="K300" s="179">
        <v>6169</v>
      </c>
      <c r="L300" s="179">
        <v>7800</v>
      </c>
      <c r="M300" s="179"/>
      <c r="N300" s="180">
        <v>46509</v>
      </c>
      <c r="O300" s="176">
        <v>675729</v>
      </c>
      <c r="P300" s="230">
        <v>3481</v>
      </c>
      <c r="Q300" s="176">
        <v>116869</v>
      </c>
      <c r="R300" s="176">
        <v>53224</v>
      </c>
      <c r="S300" s="176">
        <v>187731</v>
      </c>
      <c r="T300" s="176">
        <v>423889</v>
      </c>
      <c r="U300" s="176">
        <v>775209</v>
      </c>
      <c r="V300" s="176">
        <v>429402</v>
      </c>
      <c r="W300" s="176">
        <v>304842</v>
      </c>
      <c r="X300" s="176">
        <v>202644</v>
      </c>
      <c r="Y300" s="5"/>
      <c r="AA300" s="12"/>
      <c r="AB300" s="12"/>
      <c r="AC300" s="12"/>
      <c r="AD300" s="12"/>
      <c r="AE300" s="45">
        <f t="shared" si="58"/>
        <v>3768045</v>
      </c>
    </row>
    <row r="301" spans="2:32">
      <c r="B301" s="313"/>
      <c r="C301" s="336"/>
      <c r="D301" s="327"/>
      <c r="E301" s="145" t="s">
        <v>270</v>
      </c>
      <c r="F301" s="177"/>
      <c r="G301" s="177"/>
      <c r="H301" s="177"/>
      <c r="I301" s="177"/>
      <c r="J301" s="230">
        <v>-3481</v>
      </c>
      <c r="K301" s="179"/>
      <c r="L301" s="179"/>
      <c r="M301" s="179"/>
      <c r="N301" s="180"/>
      <c r="O301" s="176"/>
      <c r="P301" s="177"/>
      <c r="Q301" s="176"/>
      <c r="R301" s="176"/>
      <c r="S301" s="176"/>
      <c r="T301" s="176"/>
      <c r="U301" s="176"/>
      <c r="V301" s="176"/>
      <c r="W301" s="176"/>
      <c r="X301" s="176"/>
      <c r="Y301" s="5"/>
      <c r="AA301" s="12"/>
      <c r="AB301" s="12"/>
      <c r="AC301" s="12"/>
      <c r="AD301" s="12"/>
      <c r="AE301" s="45">
        <f t="shared" si="58"/>
        <v>-3481</v>
      </c>
    </row>
    <row r="302" spans="2:32">
      <c r="B302" s="34" t="s">
        <v>372</v>
      </c>
      <c r="C302" s="161">
        <v>44279</v>
      </c>
      <c r="D302" s="173">
        <v>1126.2</v>
      </c>
      <c r="E302" s="145" t="s">
        <v>371</v>
      </c>
      <c r="F302" s="177"/>
      <c r="G302" s="177"/>
      <c r="H302" s="177"/>
      <c r="I302" s="177"/>
      <c r="J302" s="237"/>
      <c r="K302" s="179"/>
      <c r="L302" s="179"/>
      <c r="M302" s="179"/>
      <c r="N302" s="180"/>
      <c r="O302" s="176"/>
      <c r="P302" s="177"/>
      <c r="Q302" s="176"/>
      <c r="R302" s="176"/>
      <c r="S302" s="176"/>
      <c r="T302" s="176"/>
      <c r="U302" s="176"/>
      <c r="V302" s="176"/>
      <c r="W302" s="176"/>
      <c r="X302" s="176">
        <v>9462795</v>
      </c>
      <c r="Y302" s="5"/>
      <c r="AA302" s="12"/>
      <c r="AB302" s="12"/>
      <c r="AC302" s="12"/>
      <c r="AD302" s="12"/>
      <c r="AE302" s="45">
        <f t="shared" si="58"/>
        <v>9462795</v>
      </c>
    </row>
    <row r="303" spans="2:32">
      <c r="B303" s="34" t="s">
        <v>373</v>
      </c>
      <c r="C303" s="161">
        <v>44293</v>
      </c>
      <c r="D303" s="173">
        <v>1122.4000000000001</v>
      </c>
      <c r="E303" s="145" t="s">
        <v>377</v>
      </c>
      <c r="F303" s="177"/>
      <c r="G303" s="177"/>
      <c r="H303" s="177"/>
      <c r="I303" s="177"/>
      <c r="J303" s="237"/>
      <c r="K303" s="179"/>
      <c r="L303" s="179"/>
      <c r="M303" s="179"/>
      <c r="N303" s="180"/>
      <c r="O303" s="176"/>
      <c r="P303" s="177"/>
      <c r="Q303" s="176"/>
      <c r="R303" s="176"/>
      <c r="S303" s="176"/>
      <c r="T303" s="176"/>
      <c r="U303" s="176">
        <v>9978617</v>
      </c>
      <c r="V303" s="176">
        <v>1336422</v>
      </c>
      <c r="W303" s="176"/>
      <c r="X303" s="176"/>
      <c r="Y303" s="5"/>
      <c r="AA303" s="12"/>
      <c r="AB303" s="12"/>
      <c r="AC303" s="12"/>
      <c r="AD303" s="12"/>
      <c r="AE303" s="45">
        <f t="shared" si="58"/>
        <v>11315039</v>
      </c>
    </row>
    <row r="304" spans="2:32">
      <c r="B304" s="311" t="s">
        <v>375</v>
      </c>
      <c r="C304" s="334">
        <v>44320</v>
      </c>
      <c r="D304" s="325">
        <v>1112</v>
      </c>
      <c r="E304" s="145" t="s">
        <v>376</v>
      </c>
      <c r="F304" s="177"/>
      <c r="G304" s="177"/>
      <c r="H304" s="177"/>
      <c r="I304" s="177"/>
      <c r="J304" s="237"/>
      <c r="K304" s="179"/>
      <c r="L304" s="179"/>
      <c r="M304" s="179"/>
      <c r="N304" s="180"/>
      <c r="O304" s="176"/>
      <c r="P304" s="177"/>
      <c r="Q304" s="176"/>
      <c r="R304" s="176"/>
      <c r="S304" s="176"/>
      <c r="T304" s="176"/>
      <c r="U304" s="176"/>
      <c r="V304" s="176">
        <v>449640</v>
      </c>
      <c r="W304" s="176"/>
      <c r="X304" s="176"/>
      <c r="Y304" s="5"/>
      <c r="AA304" s="12"/>
      <c r="AB304" s="12"/>
      <c r="AC304" s="12"/>
      <c r="AD304" s="12"/>
      <c r="AE304" s="45">
        <f t="shared" si="58"/>
        <v>449640</v>
      </c>
      <c r="AF304" s="45">
        <f>SUM(AE304:AE306)</f>
        <v>4234258</v>
      </c>
    </row>
    <row r="305" spans="2:32">
      <c r="B305" s="312"/>
      <c r="C305" s="335"/>
      <c r="D305" s="326"/>
      <c r="E305" s="145" t="s">
        <v>378</v>
      </c>
      <c r="F305" s="177">
        <v>263449</v>
      </c>
      <c r="G305" s="177">
        <v>29337</v>
      </c>
      <c r="H305" s="177">
        <v>37506</v>
      </c>
      <c r="I305" s="177">
        <v>80013</v>
      </c>
      <c r="J305" s="237">
        <v>3123</v>
      </c>
      <c r="K305" s="179">
        <v>24207</v>
      </c>
      <c r="L305" s="179">
        <v>26688</v>
      </c>
      <c r="M305" s="179"/>
      <c r="N305" s="180">
        <v>88214</v>
      </c>
      <c r="O305" s="176">
        <v>474491</v>
      </c>
      <c r="P305" s="177"/>
      <c r="Q305" s="176">
        <v>121980</v>
      </c>
      <c r="R305" s="176">
        <v>182194</v>
      </c>
      <c r="S305" s="176">
        <v>314100</v>
      </c>
      <c r="T305" s="176">
        <v>128543</v>
      </c>
      <c r="U305" s="176">
        <v>764592</v>
      </c>
      <c r="V305" s="176">
        <v>411378</v>
      </c>
      <c r="W305" s="176">
        <v>363281</v>
      </c>
      <c r="X305" s="176">
        <v>471522</v>
      </c>
      <c r="Y305" s="5"/>
      <c r="AA305" s="12"/>
      <c r="AB305" s="12"/>
      <c r="AC305" s="12"/>
      <c r="AD305" s="12"/>
      <c r="AE305" s="45">
        <f t="shared" si="58"/>
        <v>3784618</v>
      </c>
    </row>
    <row r="306" spans="2:32">
      <c r="B306" s="313"/>
      <c r="C306" s="336"/>
      <c r="D306" s="327"/>
      <c r="E306" s="145" t="s">
        <v>270</v>
      </c>
      <c r="F306" s="177"/>
      <c r="G306" s="177"/>
      <c r="H306" s="177"/>
      <c r="I306" s="177"/>
      <c r="J306" s="237">
        <v>-1162</v>
      </c>
      <c r="K306" s="179"/>
      <c r="L306" s="179"/>
      <c r="M306" s="179"/>
      <c r="N306" s="180"/>
      <c r="O306" s="176"/>
      <c r="P306" s="230">
        <v>1162</v>
      </c>
      <c r="Q306" s="176"/>
      <c r="R306" s="176"/>
      <c r="S306" s="176"/>
      <c r="T306" s="176"/>
      <c r="U306" s="176"/>
      <c r="V306" s="176"/>
      <c r="W306" s="176"/>
      <c r="X306" s="176"/>
      <c r="Y306" s="5"/>
      <c r="AA306" s="12"/>
      <c r="AB306" s="12"/>
      <c r="AC306" s="12"/>
      <c r="AD306" s="12"/>
      <c r="AE306" s="45">
        <f t="shared" si="58"/>
        <v>0</v>
      </c>
    </row>
    <row r="307" spans="2:32">
      <c r="B307" s="34" t="s">
        <v>380</v>
      </c>
      <c r="C307" s="161">
        <v>44361</v>
      </c>
      <c r="D307" s="173">
        <v>1107</v>
      </c>
      <c r="E307" s="145" t="s">
        <v>381</v>
      </c>
      <c r="F307" s="177"/>
      <c r="G307" s="177"/>
      <c r="H307" s="177"/>
      <c r="I307" s="177"/>
      <c r="J307" s="237"/>
      <c r="K307" s="179"/>
      <c r="L307" s="179"/>
      <c r="M307" s="179"/>
      <c r="N307" s="180"/>
      <c r="O307" s="176"/>
      <c r="P307" s="237"/>
      <c r="Q307" s="176"/>
      <c r="R307" s="176"/>
      <c r="S307" s="176"/>
      <c r="T307" s="176"/>
      <c r="U307" s="176">
        <v>1535682</v>
      </c>
      <c r="V307" s="176"/>
      <c r="W307" s="176"/>
      <c r="X307" s="176"/>
      <c r="Y307" s="5"/>
      <c r="AA307" s="12"/>
      <c r="AB307" s="12"/>
      <c r="AC307" s="12"/>
      <c r="AD307" s="12"/>
      <c r="AE307" s="45">
        <f t="shared" si="58"/>
        <v>1535682</v>
      </c>
    </row>
    <row r="308" spans="2:32">
      <c r="B308" s="311" t="s">
        <v>389</v>
      </c>
      <c r="C308" s="334">
        <v>44417</v>
      </c>
      <c r="D308" s="325">
        <v>1141.9000000000001</v>
      </c>
      <c r="E308" s="145" t="s">
        <v>376</v>
      </c>
      <c r="F308" s="177"/>
      <c r="G308" s="177"/>
      <c r="H308" s="177"/>
      <c r="I308" s="177"/>
      <c r="J308" s="237"/>
      <c r="K308" s="179"/>
      <c r="L308" s="179"/>
      <c r="M308" s="179"/>
      <c r="N308" s="180"/>
      <c r="O308" s="176"/>
      <c r="P308" s="237"/>
      <c r="Q308" s="176"/>
      <c r="R308" s="176"/>
      <c r="S308" s="176"/>
      <c r="T308" s="176"/>
      <c r="U308" s="176"/>
      <c r="V308" s="176">
        <f>5044224-V309</f>
        <v>4643771</v>
      </c>
      <c r="W308" s="176"/>
      <c r="X308" s="176"/>
      <c r="Y308" s="5"/>
      <c r="AA308" s="12"/>
      <c r="AB308" s="12"/>
      <c r="AC308" s="12"/>
      <c r="AD308" s="12"/>
      <c r="AE308" s="45">
        <f t="shared" si="58"/>
        <v>4643771</v>
      </c>
      <c r="AF308" s="45">
        <f>SUM(AE308:AE309)</f>
        <v>5044224</v>
      </c>
    </row>
    <row r="309" spans="2:32">
      <c r="B309" s="313"/>
      <c r="C309" s="336"/>
      <c r="D309" s="327"/>
      <c r="E309" s="145" t="s">
        <v>390</v>
      </c>
      <c r="F309" s="177"/>
      <c r="G309" s="177"/>
      <c r="H309" s="177"/>
      <c r="I309" s="177"/>
      <c r="J309" s="237"/>
      <c r="K309" s="179"/>
      <c r="L309" s="179"/>
      <c r="M309" s="179"/>
      <c r="N309" s="180"/>
      <c r="O309" s="176"/>
      <c r="P309" s="237"/>
      <c r="Q309" s="176"/>
      <c r="R309" s="176"/>
      <c r="S309" s="176"/>
      <c r="T309" s="176"/>
      <c r="U309" s="176"/>
      <c r="V309" s="176">
        <v>400453</v>
      </c>
      <c r="W309" s="176"/>
      <c r="X309" s="176"/>
      <c r="Y309" s="5"/>
      <c r="AA309" s="12"/>
      <c r="AB309" s="12"/>
      <c r="AC309" s="12"/>
      <c r="AD309" s="12"/>
      <c r="AE309" s="45">
        <f t="shared" si="58"/>
        <v>400453</v>
      </c>
    </row>
    <row r="310" spans="2:32">
      <c r="B310" s="311" t="s">
        <v>395</v>
      </c>
      <c r="C310" s="334">
        <v>44490</v>
      </c>
      <c r="D310" s="325">
        <v>1181.8</v>
      </c>
      <c r="E310" s="145" t="s">
        <v>381</v>
      </c>
      <c r="F310" s="177"/>
      <c r="G310" s="177"/>
      <c r="H310" s="177"/>
      <c r="I310" s="177"/>
      <c r="J310" s="237"/>
      <c r="K310" s="179"/>
      <c r="L310" s="179"/>
      <c r="M310" s="179"/>
      <c r="N310" s="180"/>
      <c r="O310" s="176"/>
      <c r="P310" s="237"/>
      <c r="Q310" s="176"/>
      <c r="R310" s="176"/>
      <c r="S310" s="176"/>
      <c r="T310" s="176"/>
      <c r="U310" s="176">
        <v>1523100</v>
      </c>
      <c r="V310" s="176"/>
      <c r="W310" s="176"/>
      <c r="X310" s="176"/>
      <c r="Y310" s="5"/>
      <c r="AA310" s="12"/>
      <c r="AB310" s="12"/>
      <c r="AC310" s="12"/>
      <c r="AD310" s="12"/>
      <c r="AE310" s="45">
        <f t="shared" si="58"/>
        <v>1523100</v>
      </c>
      <c r="AF310" s="45">
        <f>SUM(AE310:AE312)</f>
        <v>9120139</v>
      </c>
    </row>
    <row r="311" spans="2:32">
      <c r="B311" s="312"/>
      <c r="C311" s="335"/>
      <c r="D311" s="326"/>
      <c r="E311" s="145" t="s">
        <v>396</v>
      </c>
      <c r="F311" s="177">
        <v>282240</v>
      </c>
      <c r="G311" s="177"/>
      <c r="H311" s="177"/>
      <c r="I311" s="177">
        <v>66788</v>
      </c>
      <c r="J311" s="237"/>
      <c r="K311" s="179">
        <v>89934</v>
      </c>
      <c r="L311" s="179">
        <v>147590</v>
      </c>
      <c r="M311" s="179">
        <v>103081</v>
      </c>
      <c r="N311" s="180">
        <v>384565</v>
      </c>
      <c r="O311" s="176">
        <v>822920</v>
      </c>
      <c r="P311" s="237"/>
      <c r="Q311" s="176">
        <v>283851</v>
      </c>
      <c r="R311" s="176">
        <v>127135</v>
      </c>
      <c r="S311" s="176">
        <v>720123</v>
      </c>
      <c r="T311" s="176">
        <v>1025883</v>
      </c>
      <c r="U311" s="176">
        <v>1691675</v>
      </c>
      <c r="V311" s="176">
        <v>823885</v>
      </c>
      <c r="W311" s="176"/>
      <c r="X311" s="176">
        <v>1027369</v>
      </c>
      <c r="Y311" s="5"/>
      <c r="AA311" s="12"/>
      <c r="AB311" s="12"/>
      <c r="AC311" s="12"/>
      <c r="AD311" s="12"/>
      <c r="AE311" s="45">
        <f t="shared" si="58"/>
        <v>7597039</v>
      </c>
    </row>
    <row r="312" spans="2:32">
      <c r="B312" s="313"/>
      <c r="C312" s="336"/>
      <c r="D312" s="327"/>
      <c r="E312" s="145" t="s">
        <v>397</v>
      </c>
      <c r="F312" s="177"/>
      <c r="G312" s="177"/>
      <c r="H312" s="177"/>
      <c r="I312" s="177"/>
      <c r="J312" s="237"/>
      <c r="K312" s="230">
        <v>-2376</v>
      </c>
      <c r="L312" s="179"/>
      <c r="M312" s="179"/>
      <c r="N312" s="180"/>
      <c r="O312" s="176"/>
      <c r="P312" s="237">
        <v>2376</v>
      </c>
      <c r="Q312" s="176"/>
      <c r="R312" s="176"/>
      <c r="S312" s="176"/>
      <c r="T312" s="176"/>
      <c r="U312" s="176"/>
      <c r="V312" s="176"/>
      <c r="W312" s="176"/>
      <c r="X312" s="176"/>
      <c r="Y312" s="5"/>
      <c r="AA312" s="12"/>
      <c r="AB312" s="12"/>
      <c r="AC312" s="12"/>
      <c r="AD312" s="12"/>
      <c r="AE312" s="45">
        <f t="shared" si="58"/>
        <v>0</v>
      </c>
    </row>
    <row r="313" spans="2:32">
      <c r="B313" s="337" t="s">
        <v>402</v>
      </c>
      <c r="C313" s="334">
        <v>44546</v>
      </c>
      <c r="D313" s="340">
        <v>1175.5</v>
      </c>
      <c r="E313" s="145" t="s">
        <v>403</v>
      </c>
      <c r="F313" s="177"/>
      <c r="G313" s="177"/>
      <c r="H313" s="177"/>
      <c r="I313" s="177"/>
      <c r="J313" s="237"/>
      <c r="K313" s="237"/>
      <c r="L313" s="177"/>
      <c r="M313" s="177"/>
      <c r="N313" s="180"/>
      <c r="O313" s="180"/>
      <c r="P313" s="237"/>
      <c r="Q313" s="180"/>
      <c r="R313" s="180"/>
      <c r="S313" s="180"/>
      <c r="T313" s="180"/>
      <c r="U313" s="180">
        <v>2126754</v>
      </c>
      <c r="V313" s="180"/>
      <c r="W313" s="180"/>
      <c r="X313" s="180">
        <v>3743088</v>
      </c>
      <c r="Y313" s="145"/>
      <c r="AA313" s="104"/>
      <c r="AB313" s="104"/>
      <c r="AC313" s="104"/>
      <c r="AD313" s="104"/>
      <c r="AE313" s="45">
        <f t="shared" si="58"/>
        <v>5869842</v>
      </c>
      <c r="AF313" s="45">
        <f>SUM(AE313:AE315)</f>
        <v>6409980</v>
      </c>
    </row>
    <row r="314" spans="2:32">
      <c r="B314" s="338"/>
      <c r="C314" s="335"/>
      <c r="D314" s="341"/>
      <c r="E314" s="145" t="s">
        <v>441</v>
      </c>
      <c r="F314" s="177"/>
      <c r="G314" s="177"/>
      <c r="H314" s="177">
        <v>36415</v>
      </c>
      <c r="I314" s="177">
        <v>36337</v>
      </c>
      <c r="J314" s="237">
        <v>78740</v>
      </c>
      <c r="K314" s="237">
        <v>40508</v>
      </c>
      <c r="L314" s="177">
        <v>35677</v>
      </c>
      <c r="M314" s="177">
        <v>24239</v>
      </c>
      <c r="N314" s="180">
        <v>35773</v>
      </c>
      <c r="O314" s="180">
        <v>35726</v>
      </c>
      <c r="P314" s="237"/>
      <c r="Q314" s="180">
        <v>35737</v>
      </c>
      <c r="R314" s="180">
        <v>35819</v>
      </c>
      <c r="S314" s="180">
        <v>35225</v>
      </c>
      <c r="T314" s="180">
        <v>41978</v>
      </c>
      <c r="U314" s="180">
        <v>35479</v>
      </c>
      <c r="V314" s="180">
        <v>23375</v>
      </c>
      <c r="W314" s="180"/>
      <c r="X314" s="180">
        <v>9110</v>
      </c>
      <c r="Y314" s="145"/>
      <c r="AA314" s="104"/>
      <c r="AB314" s="104"/>
      <c r="AC314" s="104"/>
      <c r="AD314" s="104"/>
      <c r="AE314" s="45">
        <f t="shared" ref="AE314:AE364" si="59">SUM(F314:Y314)</f>
        <v>540138</v>
      </c>
    </row>
    <row r="315" spans="2:32">
      <c r="B315" s="339"/>
      <c r="C315" s="336"/>
      <c r="D315" s="342"/>
      <c r="E315" s="145" t="s">
        <v>271</v>
      </c>
      <c r="F315" s="177"/>
      <c r="G315" s="177"/>
      <c r="H315" s="177"/>
      <c r="I315" s="177"/>
      <c r="J315" s="237">
        <v>-43321</v>
      </c>
      <c r="K315" s="237"/>
      <c r="L315" s="177"/>
      <c r="M315" s="177"/>
      <c r="N315" s="180"/>
      <c r="O315" s="180"/>
      <c r="P315" s="180">
        <v>43321</v>
      </c>
      <c r="Q315" s="180"/>
      <c r="R315" s="180"/>
      <c r="S315" s="180"/>
      <c r="T315" s="180"/>
      <c r="U315" s="180"/>
      <c r="V315" s="180"/>
      <c r="W315" s="180"/>
      <c r="X315" s="180"/>
      <c r="Y315" s="145"/>
      <c r="AA315" s="104"/>
      <c r="AB315" s="104"/>
      <c r="AC315" s="104"/>
      <c r="AD315" s="104"/>
      <c r="AE315" s="45">
        <f t="shared" si="59"/>
        <v>0</v>
      </c>
    </row>
    <row r="316" spans="2:32">
      <c r="B316" s="337" t="s">
        <v>410</v>
      </c>
      <c r="C316" s="334">
        <v>44601</v>
      </c>
      <c r="D316" s="340">
        <v>1190.4000000000001</v>
      </c>
      <c r="E316" s="145" t="s">
        <v>381</v>
      </c>
      <c r="F316" s="177"/>
      <c r="G316" s="177"/>
      <c r="H316" s="177"/>
      <c r="I316" s="177"/>
      <c r="J316" s="237"/>
      <c r="K316" s="237"/>
      <c r="L316" s="177"/>
      <c r="M316" s="177"/>
      <c r="N316" s="180"/>
      <c r="O316" s="180"/>
      <c r="P316" s="180"/>
      <c r="Q316" s="180"/>
      <c r="R316" s="180"/>
      <c r="S316" s="180"/>
      <c r="T316" s="180"/>
      <c r="U316" s="180">
        <v>840054</v>
      </c>
      <c r="V316" s="180"/>
      <c r="W316" s="180"/>
      <c r="X316" s="180"/>
      <c r="Y316" s="145"/>
      <c r="AA316" s="104"/>
      <c r="AB316" s="104"/>
      <c r="AC316" s="104"/>
      <c r="AD316" s="104"/>
      <c r="AE316" s="45">
        <f t="shared" si="59"/>
        <v>840054</v>
      </c>
      <c r="AF316" s="45">
        <f>SUM(AE316:AE318)</f>
        <v>2761952</v>
      </c>
    </row>
    <row r="317" spans="2:32">
      <c r="B317" s="338"/>
      <c r="C317" s="335"/>
      <c r="D317" s="341"/>
      <c r="E317" s="145" t="s">
        <v>440</v>
      </c>
      <c r="F317" s="177">
        <v>30574</v>
      </c>
      <c r="G317" s="177"/>
      <c r="H317" s="177"/>
      <c r="I317" s="177">
        <v>6003</v>
      </c>
      <c r="J317" s="237"/>
      <c r="K317" s="237">
        <v>45998</v>
      </c>
      <c r="L317" s="177">
        <v>72134</v>
      </c>
      <c r="M317" s="177"/>
      <c r="N317" s="180">
        <v>182725</v>
      </c>
      <c r="O317" s="180">
        <v>342353</v>
      </c>
      <c r="P317" s="180"/>
      <c r="Q317" s="180">
        <v>137960</v>
      </c>
      <c r="R317" s="180">
        <v>61820</v>
      </c>
      <c r="S317" s="180">
        <v>176933</v>
      </c>
      <c r="T317" s="180">
        <v>123172</v>
      </c>
      <c r="U317" s="180">
        <v>310314</v>
      </c>
      <c r="V317" s="180">
        <v>4366</v>
      </c>
      <c r="W317" s="180"/>
      <c r="X317" s="180">
        <v>427546</v>
      </c>
      <c r="Y317" s="145"/>
      <c r="AA317" s="104"/>
      <c r="AB317" s="104"/>
      <c r="AC317" s="104"/>
      <c r="AD317" s="104"/>
      <c r="AE317" s="45">
        <f t="shared" si="59"/>
        <v>1921898</v>
      </c>
    </row>
    <row r="318" spans="2:32">
      <c r="B318" s="339"/>
      <c r="C318" s="336"/>
      <c r="D318" s="342"/>
      <c r="E318" s="145" t="s">
        <v>271</v>
      </c>
      <c r="F318" s="177"/>
      <c r="G318" s="177"/>
      <c r="H318" s="177"/>
      <c r="I318" s="177"/>
      <c r="J318" s="237"/>
      <c r="K318" s="237">
        <f>-1225</f>
        <v>-1225</v>
      </c>
      <c r="L318" s="177"/>
      <c r="M318" s="177"/>
      <c r="N318" s="180"/>
      <c r="O318" s="180"/>
      <c r="P318" s="180">
        <v>1225</v>
      </c>
      <c r="Q318" s="180"/>
      <c r="R318" s="180"/>
      <c r="S318" s="180"/>
      <c r="T318" s="180"/>
      <c r="U318" s="180"/>
      <c r="V318" s="180"/>
      <c r="W318" s="180"/>
      <c r="X318" s="180"/>
      <c r="Y318" s="145"/>
      <c r="AA318" s="104"/>
      <c r="AB318" s="104"/>
      <c r="AC318" s="104"/>
      <c r="AD318" s="104"/>
      <c r="AE318" s="45">
        <f t="shared" si="59"/>
        <v>0</v>
      </c>
    </row>
    <row r="319" spans="2:32">
      <c r="B319" s="266" t="s">
        <v>412</v>
      </c>
      <c r="C319" s="161">
        <v>44644</v>
      </c>
      <c r="D319" s="265">
        <v>1228.5</v>
      </c>
      <c r="E319" s="145" t="s">
        <v>403</v>
      </c>
      <c r="F319" s="177"/>
      <c r="G319" s="177"/>
      <c r="H319" s="177"/>
      <c r="I319" s="177"/>
      <c r="J319" s="237"/>
      <c r="K319" s="237"/>
      <c r="L319" s="177"/>
      <c r="M319" s="177"/>
      <c r="N319" s="180"/>
      <c r="O319" s="180"/>
      <c r="P319" s="180"/>
      <c r="Q319" s="180"/>
      <c r="R319" s="180"/>
      <c r="S319" s="180"/>
      <c r="T319" s="180"/>
      <c r="U319" s="180">
        <v>1221001</v>
      </c>
      <c r="V319" s="180"/>
      <c r="W319" s="180"/>
      <c r="X319" s="180">
        <v>2442003</v>
      </c>
      <c r="Y319" s="145"/>
      <c r="AA319" s="104"/>
      <c r="AB319" s="104"/>
      <c r="AC319" s="104"/>
      <c r="AD319" s="104"/>
      <c r="AE319" s="45">
        <f t="shared" si="59"/>
        <v>3663004</v>
      </c>
    </row>
    <row r="320" spans="2:32">
      <c r="B320" s="266" t="s">
        <v>416</v>
      </c>
      <c r="C320" s="161">
        <v>44665</v>
      </c>
      <c r="D320" s="265">
        <v>1210.7</v>
      </c>
      <c r="E320" s="145" t="s">
        <v>417</v>
      </c>
      <c r="F320" s="177"/>
      <c r="G320" s="177"/>
      <c r="H320" s="177"/>
      <c r="I320" s="177"/>
      <c r="J320" s="237"/>
      <c r="K320" s="237"/>
      <c r="L320" s="177"/>
      <c r="M320" s="177"/>
      <c r="N320" s="180"/>
      <c r="O320" s="180"/>
      <c r="P320" s="180"/>
      <c r="Q320" s="180"/>
      <c r="R320" s="180"/>
      <c r="S320" s="180"/>
      <c r="T320" s="180"/>
      <c r="U320" s="180">
        <v>991164</v>
      </c>
      <c r="V320" s="180">
        <v>825969</v>
      </c>
      <c r="W320" s="180"/>
      <c r="X320" s="180">
        <v>1651941</v>
      </c>
      <c r="Y320" s="145"/>
      <c r="AA320" s="104"/>
      <c r="AB320" s="104"/>
      <c r="AC320" s="104"/>
      <c r="AD320" s="104"/>
      <c r="AE320" s="45">
        <f t="shared" si="59"/>
        <v>3469074</v>
      </c>
    </row>
    <row r="321" spans="2:32">
      <c r="B321" s="337" t="s">
        <v>420</v>
      </c>
      <c r="C321" s="334">
        <v>44694</v>
      </c>
      <c r="D321" s="340">
        <v>1248.3</v>
      </c>
      <c r="E321" s="145" t="s">
        <v>421</v>
      </c>
      <c r="F321" s="177"/>
      <c r="G321" s="177"/>
      <c r="H321" s="177"/>
      <c r="I321" s="177"/>
      <c r="J321" s="237"/>
      <c r="K321" s="237"/>
      <c r="L321" s="177"/>
      <c r="M321" s="177"/>
      <c r="N321" s="180"/>
      <c r="O321" s="180"/>
      <c r="P321" s="180"/>
      <c r="Q321" s="180"/>
      <c r="R321" s="180"/>
      <c r="S321" s="180"/>
      <c r="T321" s="180"/>
      <c r="U321" s="180"/>
      <c r="V321" s="180">
        <v>10494272</v>
      </c>
      <c r="W321" s="180"/>
      <c r="X321" s="180">
        <v>400545</v>
      </c>
      <c r="Y321" s="145"/>
      <c r="AA321" s="104"/>
      <c r="AB321" s="104"/>
      <c r="AC321" s="104"/>
      <c r="AD321" s="104"/>
      <c r="AE321" s="45">
        <f t="shared" si="59"/>
        <v>10894817</v>
      </c>
      <c r="AF321" s="45">
        <f>SUM(AE321:AE323)</f>
        <v>12951666</v>
      </c>
    </row>
    <row r="322" spans="2:32">
      <c r="B322" s="338"/>
      <c r="C322" s="335"/>
      <c r="D322" s="341"/>
      <c r="E322" s="145" t="s">
        <v>422</v>
      </c>
      <c r="F322" s="177">
        <v>30326</v>
      </c>
      <c r="G322" s="177"/>
      <c r="H322" s="177"/>
      <c r="I322" s="177">
        <v>23389</v>
      </c>
      <c r="J322" s="237"/>
      <c r="K322" s="237">
        <v>20883</v>
      </c>
      <c r="L322" s="177">
        <v>19770</v>
      </c>
      <c r="M322" s="177"/>
      <c r="N322" s="180">
        <v>116032</v>
      </c>
      <c r="O322" s="180">
        <v>337773</v>
      </c>
      <c r="P322" s="180"/>
      <c r="Q322" s="180">
        <v>44817</v>
      </c>
      <c r="R322" s="180">
        <v>59100</v>
      </c>
      <c r="S322" s="180">
        <v>143321</v>
      </c>
      <c r="T322" s="180">
        <v>122363</v>
      </c>
      <c r="U322" s="180">
        <v>281495</v>
      </c>
      <c r="V322" s="180">
        <v>396094</v>
      </c>
      <c r="W322" s="180"/>
      <c r="X322" s="180">
        <v>461486</v>
      </c>
      <c r="Y322" s="145"/>
      <c r="AA322" s="104"/>
      <c r="AB322" s="104"/>
      <c r="AC322" s="104"/>
      <c r="AD322" s="104"/>
      <c r="AE322" s="45">
        <f t="shared" si="59"/>
        <v>2056849</v>
      </c>
    </row>
    <row r="323" spans="2:32">
      <c r="B323" s="339"/>
      <c r="C323" s="336"/>
      <c r="D323" s="342"/>
      <c r="E323" s="145" t="s">
        <v>270</v>
      </c>
      <c r="F323" s="177"/>
      <c r="G323" s="177"/>
      <c r="H323" s="177"/>
      <c r="I323" s="177"/>
      <c r="J323" s="237"/>
      <c r="K323" s="237">
        <v>-1312</v>
      </c>
      <c r="L323" s="177"/>
      <c r="M323" s="177"/>
      <c r="N323" s="180"/>
      <c r="O323" s="180"/>
      <c r="P323" s="180">
        <v>1312</v>
      </c>
      <c r="Q323" s="180"/>
      <c r="R323" s="180"/>
      <c r="S323" s="180"/>
      <c r="T323" s="180"/>
      <c r="U323" s="180"/>
      <c r="V323" s="180"/>
      <c r="W323" s="180"/>
      <c r="X323" s="180"/>
      <c r="Y323" s="145"/>
      <c r="AA323" s="104"/>
      <c r="AB323" s="104"/>
      <c r="AC323" s="104"/>
      <c r="AD323" s="104"/>
      <c r="AE323" s="45">
        <f t="shared" si="59"/>
        <v>0</v>
      </c>
    </row>
    <row r="324" spans="2:32">
      <c r="B324" s="34" t="s">
        <v>434</v>
      </c>
      <c r="C324" s="161">
        <v>44729</v>
      </c>
      <c r="D324" s="173">
        <v>1238.4000000000001</v>
      </c>
      <c r="E324" s="145" t="s">
        <v>435</v>
      </c>
      <c r="F324" s="177"/>
      <c r="G324" s="177"/>
      <c r="H324" s="177"/>
      <c r="I324" s="177"/>
      <c r="J324" s="237"/>
      <c r="K324" s="237"/>
      <c r="L324" s="177"/>
      <c r="M324" s="177"/>
      <c r="N324" s="180"/>
      <c r="O324" s="180">
        <v>3795219</v>
      </c>
      <c r="P324" s="180"/>
      <c r="Q324" s="180"/>
      <c r="R324" s="180"/>
      <c r="S324" s="180"/>
      <c r="T324" s="180"/>
      <c r="U324" s="180"/>
      <c r="V324" s="180"/>
      <c r="W324" s="180"/>
      <c r="X324" s="180">
        <v>807494</v>
      </c>
      <c r="Y324" s="145"/>
      <c r="AA324" s="12"/>
      <c r="AB324" s="12"/>
      <c r="AC324" s="12"/>
      <c r="AD324" s="12"/>
      <c r="AE324" s="45">
        <f t="shared" si="59"/>
        <v>4602713</v>
      </c>
    </row>
    <row r="325" spans="2:32">
      <c r="B325" s="34" t="s">
        <v>438</v>
      </c>
      <c r="C325" s="161">
        <v>44757</v>
      </c>
      <c r="D325" s="173">
        <v>1294.2</v>
      </c>
      <c r="E325" s="145" t="s">
        <v>439</v>
      </c>
      <c r="F325" s="177"/>
      <c r="G325" s="177"/>
      <c r="H325" s="177"/>
      <c r="I325" s="177"/>
      <c r="J325" s="237"/>
      <c r="K325" s="237"/>
      <c r="L325" s="177"/>
      <c r="M325" s="177"/>
      <c r="N325" s="180"/>
      <c r="O325" s="180"/>
      <c r="P325" s="180"/>
      <c r="Q325" s="180"/>
      <c r="R325" s="180"/>
      <c r="S325" s="180"/>
      <c r="T325" s="180"/>
      <c r="U325" s="180"/>
      <c r="V325" s="180">
        <v>2704373</v>
      </c>
      <c r="W325" s="180"/>
      <c r="X325" s="180">
        <v>1545356</v>
      </c>
      <c r="Y325" s="145"/>
      <c r="AA325" s="12"/>
      <c r="AB325" s="12"/>
      <c r="AC325" s="12"/>
      <c r="AD325" s="12"/>
      <c r="AE325" s="45">
        <f t="shared" si="59"/>
        <v>4249729</v>
      </c>
    </row>
    <row r="326" spans="2:32">
      <c r="B326" s="311" t="s">
        <v>442</v>
      </c>
      <c r="C326" s="334">
        <v>44798</v>
      </c>
      <c r="D326" s="325">
        <v>1299.3</v>
      </c>
      <c r="E326" s="145" t="s">
        <v>371</v>
      </c>
      <c r="F326" s="177"/>
      <c r="G326" s="177"/>
      <c r="H326" s="177"/>
      <c r="I326" s="177"/>
      <c r="J326" s="237"/>
      <c r="K326" s="237"/>
      <c r="L326" s="177"/>
      <c r="M326" s="177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>
        <v>1462327</v>
      </c>
      <c r="Y326" s="145"/>
      <c r="AA326" s="12"/>
      <c r="AB326" s="12"/>
      <c r="AC326" s="12"/>
      <c r="AD326" s="12"/>
      <c r="AE326" s="45">
        <f t="shared" si="59"/>
        <v>1462327</v>
      </c>
      <c r="AF326" s="45">
        <f>SUM(AE326:AE328)</f>
        <v>3090652</v>
      </c>
    </row>
    <row r="327" spans="2:32">
      <c r="B327" s="312"/>
      <c r="C327" s="335"/>
      <c r="D327" s="326"/>
      <c r="E327" s="145" t="s">
        <v>443</v>
      </c>
      <c r="F327" s="177">
        <v>36666</v>
      </c>
      <c r="G327" s="177"/>
      <c r="H327" s="177"/>
      <c r="I327" s="177"/>
      <c r="J327" s="237"/>
      <c r="K327" s="237"/>
      <c r="L327" s="177"/>
      <c r="M327" s="177">
        <v>26854</v>
      </c>
      <c r="N327" s="180">
        <v>123140</v>
      </c>
      <c r="O327" s="180">
        <v>445754</v>
      </c>
      <c r="P327" s="180">
        <v>1331</v>
      </c>
      <c r="Q327" s="180"/>
      <c r="R327" s="180">
        <v>37880</v>
      </c>
      <c r="S327" s="180"/>
      <c r="T327" s="180"/>
      <c r="U327" s="180">
        <v>331743</v>
      </c>
      <c r="V327" s="180">
        <v>320315</v>
      </c>
      <c r="W327" s="180"/>
      <c r="X327" s="180">
        <v>305973</v>
      </c>
      <c r="Y327" s="145"/>
      <c r="AA327" s="12"/>
      <c r="AB327" s="12"/>
      <c r="AC327" s="12"/>
      <c r="AD327" s="12"/>
      <c r="AE327" s="45">
        <f t="shared" si="59"/>
        <v>1629656</v>
      </c>
    </row>
    <row r="328" spans="2:32">
      <c r="B328" s="313"/>
      <c r="C328" s="336"/>
      <c r="D328" s="327"/>
      <c r="E328" s="145" t="s">
        <v>270</v>
      </c>
      <c r="F328" s="177"/>
      <c r="G328" s="177"/>
      <c r="H328" s="177"/>
      <c r="I328" s="177"/>
      <c r="J328" s="237"/>
      <c r="K328" s="237"/>
      <c r="L328" s="177"/>
      <c r="M328" s="177"/>
      <c r="N328" s="230">
        <v>-1331</v>
      </c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45"/>
      <c r="AA328" s="12"/>
      <c r="AB328" s="12"/>
      <c r="AC328" s="12"/>
      <c r="AD328" s="12"/>
      <c r="AE328" s="45">
        <f t="shared" si="59"/>
        <v>-1331</v>
      </c>
    </row>
    <row r="329" spans="2:32">
      <c r="B329" s="34" t="s">
        <v>444</v>
      </c>
      <c r="C329" s="161">
        <v>44852</v>
      </c>
      <c r="D329" s="173">
        <v>1404.2</v>
      </c>
      <c r="E329" s="145" t="s">
        <v>403</v>
      </c>
      <c r="F329" s="177"/>
      <c r="G329" s="177"/>
      <c r="H329" s="177"/>
      <c r="I329" s="177"/>
      <c r="J329" s="237"/>
      <c r="K329" s="237"/>
      <c r="L329" s="177"/>
      <c r="M329" s="177"/>
      <c r="N329" s="237"/>
      <c r="O329" s="180"/>
      <c r="P329" s="180"/>
      <c r="Q329" s="180"/>
      <c r="R329" s="180"/>
      <c r="S329" s="180"/>
      <c r="T329" s="180"/>
      <c r="U329" s="180">
        <v>712150</v>
      </c>
      <c r="V329" s="180"/>
      <c r="W329" s="180"/>
      <c r="X329" s="180">
        <v>925795</v>
      </c>
      <c r="Y329" s="145"/>
      <c r="AA329" s="12"/>
      <c r="AB329" s="12"/>
      <c r="AC329" s="12"/>
      <c r="AD329" s="12"/>
      <c r="AE329" s="45">
        <f t="shared" si="59"/>
        <v>1637945</v>
      </c>
    </row>
    <row r="330" spans="2:32">
      <c r="B330" s="311" t="s">
        <v>445</v>
      </c>
      <c r="C330" s="334">
        <v>44887</v>
      </c>
      <c r="D330" s="325">
        <v>1371.9</v>
      </c>
      <c r="E330" s="269" t="s">
        <v>446</v>
      </c>
      <c r="F330" s="177"/>
      <c r="G330" s="177"/>
      <c r="H330" s="177"/>
      <c r="I330" s="177"/>
      <c r="J330" s="237"/>
      <c r="K330" s="237"/>
      <c r="L330" s="177"/>
      <c r="M330" s="177"/>
      <c r="N330" s="237"/>
      <c r="O330" s="180"/>
      <c r="P330" s="180"/>
      <c r="Q330" s="180"/>
      <c r="R330" s="180"/>
      <c r="S330" s="180"/>
      <c r="T330" s="180"/>
      <c r="U330" s="180"/>
      <c r="V330" s="180">
        <v>6560246</v>
      </c>
      <c r="W330" s="180"/>
      <c r="X330" s="180">
        <v>728917</v>
      </c>
      <c r="Y330" s="145"/>
      <c r="AA330" s="12"/>
      <c r="AB330" s="12"/>
      <c r="AC330" s="12"/>
      <c r="AD330" s="12"/>
      <c r="AE330" s="45">
        <f t="shared" si="59"/>
        <v>7289163</v>
      </c>
      <c r="AF330" s="45">
        <f>SUM(AE330:AE332)</f>
        <v>9211620</v>
      </c>
    </row>
    <row r="331" spans="2:32">
      <c r="B331" s="312"/>
      <c r="C331" s="335"/>
      <c r="D331" s="326"/>
      <c r="E331" s="145" t="s">
        <v>447</v>
      </c>
      <c r="F331" s="177"/>
      <c r="G331" s="177"/>
      <c r="H331" s="177"/>
      <c r="I331" s="177"/>
      <c r="J331" s="237"/>
      <c r="K331" s="237"/>
      <c r="L331" s="177"/>
      <c r="M331" s="177"/>
      <c r="N331" s="237"/>
      <c r="O331" s="180">
        <v>1035695</v>
      </c>
      <c r="P331" s="180"/>
      <c r="Q331" s="180"/>
      <c r="R331" s="180">
        <v>60548</v>
      </c>
      <c r="S331" s="180"/>
      <c r="T331" s="180"/>
      <c r="U331" s="180">
        <v>389442</v>
      </c>
      <c r="V331" s="180">
        <v>248838</v>
      </c>
      <c r="W331" s="180"/>
      <c r="X331" s="180">
        <v>187934</v>
      </c>
      <c r="Y331" s="145"/>
      <c r="AA331" s="12"/>
      <c r="AB331" s="12"/>
      <c r="AC331" s="12"/>
      <c r="AD331" s="12"/>
      <c r="AE331" s="45">
        <f t="shared" si="59"/>
        <v>1922457</v>
      </c>
    </row>
    <row r="332" spans="2:32">
      <c r="B332" s="313"/>
      <c r="C332" s="336"/>
      <c r="D332" s="327"/>
      <c r="E332" s="145" t="s">
        <v>270</v>
      </c>
      <c r="F332" s="177"/>
      <c r="G332" s="177"/>
      <c r="H332" s="177"/>
      <c r="I332" s="177"/>
      <c r="J332" s="237"/>
      <c r="K332" s="237"/>
      <c r="L332" s="177"/>
      <c r="M332" s="177"/>
      <c r="N332" s="237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45"/>
      <c r="AA332" s="12"/>
      <c r="AB332" s="12"/>
      <c r="AC332" s="12"/>
      <c r="AD332" s="12"/>
      <c r="AE332" s="45">
        <f t="shared" si="59"/>
        <v>0</v>
      </c>
    </row>
    <row r="333" spans="2:32">
      <c r="B333" s="34" t="s">
        <v>448</v>
      </c>
      <c r="C333" s="161">
        <v>44911</v>
      </c>
      <c r="D333" s="270">
        <v>1297.2</v>
      </c>
      <c r="E333" s="269" t="s">
        <v>449</v>
      </c>
      <c r="F333" s="177"/>
      <c r="G333" s="177"/>
      <c r="H333" s="177"/>
      <c r="I333" s="177"/>
      <c r="J333" s="237"/>
      <c r="K333" s="237"/>
      <c r="L333" s="177"/>
      <c r="M333" s="177"/>
      <c r="N333" s="237"/>
      <c r="O333" s="180"/>
      <c r="P333" s="180"/>
      <c r="Q333" s="180"/>
      <c r="R333" s="180"/>
      <c r="S333" s="180"/>
      <c r="T333" s="180"/>
      <c r="U333" s="180">
        <v>1933188</v>
      </c>
      <c r="V333" s="180">
        <v>3325085</v>
      </c>
      <c r="W333" s="180"/>
      <c r="X333" s="180">
        <v>1159913</v>
      </c>
      <c r="Y333" s="145"/>
      <c r="AA333" s="12"/>
      <c r="AB333" s="12"/>
      <c r="AC333" s="12"/>
      <c r="AD333" s="12"/>
      <c r="AE333" s="45">
        <f t="shared" si="59"/>
        <v>6418186</v>
      </c>
    </row>
    <row r="334" spans="2:32">
      <c r="B334" s="34" t="s">
        <v>450</v>
      </c>
      <c r="C334" s="161">
        <v>44951</v>
      </c>
      <c r="D334" s="173">
        <v>1231.0999999999999</v>
      </c>
      <c r="E334" s="145" t="s">
        <v>451</v>
      </c>
      <c r="F334" s="177"/>
      <c r="G334" s="177"/>
      <c r="H334" s="177"/>
      <c r="I334" s="177"/>
      <c r="J334" s="237"/>
      <c r="K334" s="237"/>
      <c r="L334" s="177"/>
      <c r="M334" s="177"/>
      <c r="N334" s="237"/>
      <c r="O334" s="180">
        <v>3223726</v>
      </c>
      <c r="P334" s="180"/>
      <c r="Q334" s="180"/>
      <c r="R334" s="180"/>
      <c r="S334" s="180"/>
      <c r="T334" s="180"/>
      <c r="U334" s="180"/>
      <c r="V334" s="180"/>
      <c r="W334" s="180"/>
      <c r="X334" s="180"/>
      <c r="Y334" s="145"/>
      <c r="AA334" s="12"/>
      <c r="AB334" s="12"/>
      <c r="AC334" s="12"/>
      <c r="AD334" s="12"/>
      <c r="AE334" s="45">
        <f t="shared" si="59"/>
        <v>3223726</v>
      </c>
    </row>
    <row r="335" spans="2:32">
      <c r="B335" s="34" t="s">
        <v>452</v>
      </c>
      <c r="C335" s="161">
        <v>44974</v>
      </c>
      <c r="D335" s="173">
        <v>1297.5</v>
      </c>
      <c r="E335" s="145" t="s">
        <v>454</v>
      </c>
      <c r="F335" s="177"/>
      <c r="G335" s="177"/>
      <c r="H335" s="177"/>
      <c r="I335" s="177"/>
      <c r="J335" s="237"/>
      <c r="K335" s="237"/>
      <c r="L335" s="177"/>
      <c r="M335" s="177"/>
      <c r="N335" s="237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>
        <v>738128</v>
      </c>
      <c r="Y335" s="145"/>
      <c r="AA335" s="12"/>
      <c r="AB335" s="12"/>
      <c r="AC335" s="12"/>
      <c r="AD335" s="12"/>
      <c r="AE335" s="45">
        <f t="shared" si="59"/>
        <v>738128</v>
      </c>
    </row>
    <row r="336" spans="2:32">
      <c r="B336" s="311" t="s">
        <v>456</v>
      </c>
      <c r="C336" s="334">
        <v>45007</v>
      </c>
      <c r="D336" s="325">
        <v>1318.5</v>
      </c>
      <c r="E336" s="145" t="s">
        <v>466</v>
      </c>
      <c r="F336" s="177"/>
      <c r="G336" s="177"/>
      <c r="H336" s="177"/>
      <c r="I336" s="177"/>
      <c r="J336" s="237"/>
      <c r="K336" s="237"/>
      <c r="L336" s="177"/>
      <c r="M336" s="177"/>
      <c r="N336" s="237"/>
      <c r="O336" s="180"/>
      <c r="P336" s="180"/>
      <c r="Q336" s="180"/>
      <c r="R336" s="180"/>
      <c r="S336" s="180"/>
      <c r="T336" s="180"/>
      <c r="U336" s="180">
        <f>2047023+21995+8343+197952</f>
        <v>2275313</v>
      </c>
      <c r="V336" s="180"/>
      <c r="W336" s="180"/>
      <c r="X336" s="180"/>
      <c r="Y336" s="145"/>
      <c r="AA336" s="12"/>
      <c r="AB336" s="12"/>
      <c r="AC336" s="12"/>
      <c r="AD336" s="12"/>
      <c r="AE336" s="45">
        <f t="shared" si="59"/>
        <v>2275313</v>
      </c>
      <c r="AF336" s="45">
        <f>SUM(AE336:AE338)</f>
        <v>4219033</v>
      </c>
    </row>
    <row r="337" spans="2:33">
      <c r="B337" s="312"/>
      <c r="C337" s="335"/>
      <c r="D337" s="326"/>
      <c r="E337" s="145" t="s">
        <v>461</v>
      </c>
      <c r="F337" s="177"/>
      <c r="G337" s="177"/>
      <c r="H337" s="177"/>
      <c r="I337" s="177"/>
      <c r="J337" s="237"/>
      <c r="K337" s="237"/>
      <c r="L337" s="177"/>
      <c r="M337" s="177"/>
      <c r="N337" s="237"/>
      <c r="O337" s="180">
        <v>30456</v>
      </c>
      <c r="P337" s="180"/>
      <c r="Q337" s="180"/>
      <c r="R337" s="180"/>
      <c r="S337" s="180"/>
      <c r="T337" s="180"/>
      <c r="U337" s="180">
        <f>30393</f>
        <v>30393</v>
      </c>
      <c r="V337" s="180">
        <v>31545</v>
      </c>
      <c r="W337" s="180"/>
      <c r="X337" s="180">
        <v>21153</v>
      </c>
      <c r="Y337" s="145"/>
      <c r="AA337" s="12"/>
      <c r="AB337" s="12"/>
      <c r="AC337" s="12"/>
      <c r="AD337" s="12"/>
      <c r="AE337" s="45">
        <f t="shared" si="59"/>
        <v>113547</v>
      </c>
    </row>
    <row r="338" spans="2:33">
      <c r="B338" s="313"/>
      <c r="C338" s="336"/>
      <c r="D338" s="327"/>
      <c r="E338" s="145" t="s">
        <v>462</v>
      </c>
      <c r="F338" s="177"/>
      <c r="G338" s="177"/>
      <c r="H338" s="177"/>
      <c r="I338" s="177"/>
      <c r="J338" s="237"/>
      <c r="K338" s="237"/>
      <c r="L338" s="177"/>
      <c r="M338" s="177"/>
      <c r="N338" s="237"/>
      <c r="O338" s="180">
        <v>923306</v>
      </c>
      <c r="P338" s="180"/>
      <c r="Q338" s="180"/>
      <c r="R338" s="180"/>
      <c r="S338" s="180"/>
      <c r="T338" s="180"/>
      <c r="U338" s="180">
        <f>415547</f>
        <v>415547</v>
      </c>
      <c r="V338" s="180">
        <v>269360</v>
      </c>
      <c r="W338" s="180"/>
      <c r="X338" s="180">
        <v>221960</v>
      </c>
      <c r="Y338" s="145"/>
      <c r="AA338" s="12"/>
      <c r="AB338" s="12"/>
      <c r="AC338" s="12"/>
      <c r="AD338" s="12"/>
      <c r="AE338" s="45">
        <f t="shared" si="59"/>
        <v>1830173</v>
      </c>
    </row>
    <row r="339" spans="2:33">
      <c r="B339" s="34" t="s">
        <v>458</v>
      </c>
      <c r="C339" s="161">
        <v>45012</v>
      </c>
      <c r="D339" s="173">
        <v>1303.5999999999999</v>
      </c>
      <c r="E339" s="269" t="s">
        <v>460</v>
      </c>
      <c r="F339" s="177"/>
      <c r="G339" s="177"/>
      <c r="H339" s="177"/>
      <c r="I339" s="177"/>
      <c r="J339" s="237"/>
      <c r="K339" s="237"/>
      <c r="L339" s="177"/>
      <c r="M339" s="177"/>
      <c r="N339" s="237"/>
      <c r="O339" s="180">
        <v>9588831</v>
      </c>
      <c r="P339" s="180"/>
      <c r="Q339" s="180"/>
      <c r="R339" s="180"/>
      <c r="S339" s="180"/>
      <c r="T339" s="180"/>
      <c r="U339" s="180"/>
      <c r="V339" s="180"/>
      <c r="W339" s="180"/>
      <c r="X339" s="180"/>
      <c r="Y339" s="145"/>
      <c r="AA339" s="12"/>
      <c r="AB339" s="12"/>
      <c r="AC339" s="12"/>
      <c r="AD339" s="12"/>
      <c r="AE339" s="45">
        <f t="shared" si="59"/>
        <v>9588831</v>
      </c>
    </row>
    <row r="340" spans="2:33">
      <c r="B340" s="34" t="s">
        <v>469</v>
      </c>
      <c r="C340" s="161">
        <v>45037</v>
      </c>
      <c r="D340" s="173">
        <v>1310.3</v>
      </c>
      <c r="E340" s="269" t="s">
        <v>511</v>
      </c>
      <c r="F340" s="177"/>
      <c r="G340" s="177"/>
      <c r="H340" s="177"/>
      <c r="I340" s="177"/>
      <c r="J340" s="237"/>
      <c r="K340" s="237"/>
      <c r="L340" s="177"/>
      <c r="M340" s="177"/>
      <c r="N340" s="237"/>
      <c r="O340" s="180"/>
      <c r="P340" s="180"/>
      <c r="Q340" s="180"/>
      <c r="R340" s="180"/>
      <c r="S340" s="180"/>
      <c r="T340" s="180"/>
      <c r="U340" s="180">
        <v>457910</v>
      </c>
      <c r="V340" s="180"/>
      <c r="W340" s="180"/>
      <c r="X340" s="180"/>
      <c r="Y340" s="145"/>
      <c r="AA340" s="12"/>
      <c r="AB340" s="12"/>
      <c r="AC340" s="12"/>
      <c r="AD340" s="12"/>
      <c r="AE340" s="45">
        <f t="shared" si="59"/>
        <v>457910</v>
      </c>
    </row>
    <row r="341" spans="2:33">
      <c r="B341" s="311" t="s">
        <v>477</v>
      </c>
      <c r="C341" s="161">
        <v>45090</v>
      </c>
      <c r="D341" s="173">
        <v>1306.5</v>
      </c>
      <c r="E341" s="269" t="s">
        <v>481</v>
      </c>
      <c r="F341" s="177"/>
      <c r="G341" s="177"/>
      <c r="H341" s="177"/>
      <c r="I341" s="177"/>
      <c r="J341" s="237"/>
      <c r="K341" s="237"/>
      <c r="L341" s="177"/>
      <c r="M341" s="177"/>
      <c r="N341" s="237"/>
      <c r="O341" s="180"/>
      <c r="P341" s="180"/>
      <c r="Q341" s="180"/>
      <c r="R341" s="180"/>
      <c r="S341" s="180"/>
      <c r="T341" s="180"/>
      <c r="U341" s="180">
        <v>1224646</v>
      </c>
      <c r="V341" s="180"/>
      <c r="W341" s="180"/>
      <c r="X341" s="180"/>
      <c r="Y341" s="145"/>
      <c r="AA341" s="12"/>
      <c r="AB341" s="12"/>
      <c r="AC341" s="12"/>
      <c r="AD341" s="12"/>
      <c r="AE341" s="45">
        <f t="shared" si="59"/>
        <v>1224646</v>
      </c>
      <c r="AF341" s="45">
        <f>SUM(AE341:AE344)</f>
        <v>2983502</v>
      </c>
    </row>
    <row r="342" spans="2:33">
      <c r="B342" s="312"/>
      <c r="C342" s="161">
        <v>45090</v>
      </c>
      <c r="D342" s="173">
        <v>1306.5</v>
      </c>
      <c r="E342" s="269" t="s">
        <v>478</v>
      </c>
      <c r="F342" s="177"/>
      <c r="G342" s="177"/>
      <c r="H342" s="177"/>
      <c r="I342" s="177"/>
      <c r="J342" s="237"/>
      <c r="K342" s="237"/>
      <c r="L342" s="177"/>
      <c r="M342" s="177"/>
      <c r="N342" s="237"/>
      <c r="O342" s="180">
        <v>1500</v>
      </c>
      <c r="P342" s="180"/>
      <c r="Q342" s="180"/>
      <c r="R342" s="180"/>
      <c r="S342" s="180"/>
      <c r="T342" s="180"/>
      <c r="U342" s="180">
        <v>1478</v>
      </c>
      <c r="V342" s="180">
        <v>1478</v>
      </c>
      <c r="W342" s="180"/>
      <c r="X342" s="180"/>
      <c r="Y342" s="145"/>
      <c r="AA342" s="12"/>
      <c r="AB342" s="12"/>
      <c r="AC342" s="12"/>
      <c r="AD342" s="12"/>
      <c r="AE342" s="45">
        <f t="shared" si="59"/>
        <v>4456</v>
      </c>
    </row>
    <row r="343" spans="2:33">
      <c r="B343" s="312"/>
      <c r="C343" s="161">
        <v>45090</v>
      </c>
      <c r="D343" s="173">
        <v>1306.5</v>
      </c>
      <c r="E343" s="269" t="s">
        <v>480</v>
      </c>
      <c r="F343" s="177"/>
      <c r="G343" s="177"/>
      <c r="H343" s="177"/>
      <c r="I343" s="177"/>
      <c r="J343" s="237"/>
      <c r="K343" s="237"/>
      <c r="L343" s="177"/>
      <c r="M343" s="177"/>
      <c r="N343" s="237"/>
      <c r="O343" s="180">
        <v>922437</v>
      </c>
      <c r="P343" s="180"/>
      <c r="Q343" s="180"/>
      <c r="R343" s="180"/>
      <c r="S343" s="180"/>
      <c r="T343" s="180"/>
      <c r="U343" s="180">
        <v>268684</v>
      </c>
      <c r="V343" s="180">
        <v>256114</v>
      </c>
      <c r="W343" s="180"/>
      <c r="X343" s="180">
        <v>154084</v>
      </c>
      <c r="Y343" s="145"/>
      <c r="AA343" s="12"/>
      <c r="AB343" s="12"/>
      <c r="AC343" s="12"/>
      <c r="AD343" s="12"/>
      <c r="AE343" s="45">
        <f t="shared" si="59"/>
        <v>1601319</v>
      </c>
    </row>
    <row r="344" spans="2:33">
      <c r="B344" s="313"/>
      <c r="C344" s="161">
        <v>45090</v>
      </c>
      <c r="D344" s="173">
        <v>1306.5</v>
      </c>
      <c r="E344" s="269" t="s">
        <v>508</v>
      </c>
      <c r="F344" s="177"/>
      <c r="G344" s="177"/>
      <c r="H344" s="177"/>
      <c r="I344" s="177"/>
      <c r="J344" s="237"/>
      <c r="K344" s="237"/>
      <c r="L344" s="177"/>
      <c r="M344" s="177"/>
      <c r="N344" s="237"/>
      <c r="O344" s="180"/>
      <c r="P344" s="180"/>
      <c r="Q344" s="180"/>
      <c r="R344" s="180"/>
      <c r="S344" s="180"/>
      <c r="T344" s="180"/>
      <c r="U344" s="180">
        <v>153081</v>
      </c>
      <c r="V344" s="180"/>
      <c r="W344" s="180"/>
      <c r="X344" s="180"/>
      <c r="Y344" s="145"/>
      <c r="AA344" s="12"/>
      <c r="AB344" s="12"/>
      <c r="AC344" s="12"/>
      <c r="AD344" s="12"/>
      <c r="AE344" s="45">
        <f t="shared" si="59"/>
        <v>153081</v>
      </c>
    </row>
    <row r="345" spans="2:33">
      <c r="B345" s="311" t="s">
        <v>485</v>
      </c>
      <c r="C345" s="334">
        <v>45159</v>
      </c>
      <c r="D345" s="325">
        <v>1266</v>
      </c>
      <c r="E345" s="269" t="s">
        <v>486</v>
      </c>
      <c r="F345" s="177"/>
      <c r="G345" s="177"/>
      <c r="H345" s="177"/>
      <c r="I345" s="177"/>
      <c r="J345" s="237"/>
      <c r="K345" s="237"/>
      <c r="L345" s="177"/>
      <c r="M345" s="177"/>
      <c r="N345" s="237"/>
      <c r="O345" s="180"/>
      <c r="P345" s="180"/>
      <c r="Q345" s="180"/>
      <c r="R345" s="180"/>
      <c r="S345" s="180"/>
      <c r="T345" s="180"/>
      <c r="U345" s="274">
        <v>1974723</v>
      </c>
      <c r="V345" s="180"/>
      <c r="W345" s="180"/>
      <c r="X345" s="180"/>
      <c r="Y345" s="145"/>
      <c r="AA345" s="12"/>
      <c r="AB345" s="12"/>
      <c r="AC345" s="12"/>
      <c r="AD345" s="12"/>
      <c r="AE345" s="45">
        <f t="shared" si="59"/>
        <v>1974723</v>
      </c>
      <c r="AF345" s="45">
        <f>SUM(AE345:AE349)</f>
        <v>3227658</v>
      </c>
      <c r="AG345" s="45"/>
    </row>
    <row r="346" spans="2:33">
      <c r="B346" s="312"/>
      <c r="C346" s="335"/>
      <c r="D346" s="326"/>
      <c r="E346" s="269" t="s">
        <v>488</v>
      </c>
      <c r="F346" s="177"/>
      <c r="G346" s="177"/>
      <c r="H346" s="177"/>
      <c r="I346" s="177"/>
      <c r="J346" s="237"/>
      <c r="K346" s="237"/>
      <c r="L346" s="177"/>
      <c r="M346" s="177"/>
      <c r="N346" s="237"/>
      <c r="O346" s="180"/>
      <c r="P346" s="180"/>
      <c r="Q346" s="180"/>
      <c r="R346" s="180"/>
      <c r="S346" s="180"/>
      <c r="T346" s="180"/>
      <c r="U346" s="180">
        <v>457583</v>
      </c>
      <c r="V346" s="180"/>
      <c r="W346" s="180"/>
      <c r="X346" s="180"/>
      <c r="Y346" s="145"/>
      <c r="AA346" s="12"/>
      <c r="AB346" s="12"/>
      <c r="AC346" s="12"/>
      <c r="AD346" s="12"/>
      <c r="AE346" s="45">
        <f t="shared" si="59"/>
        <v>457583</v>
      </c>
    </row>
    <row r="347" spans="2:33">
      <c r="B347" s="312"/>
      <c r="C347" s="335"/>
      <c r="D347" s="326"/>
      <c r="E347" s="269" t="s">
        <v>490</v>
      </c>
      <c r="F347" s="177"/>
      <c r="G347" s="177"/>
      <c r="H347" s="177"/>
      <c r="I347" s="177"/>
      <c r="J347" s="237"/>
      <c r="K347" s="237"/>
      <c r="L347" s="177"/>
      <c r="M347" s="177"/>
      <c r="N347" s="237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>
        <v>162318</v>
      </c>
      <c r="Y347" s="145"/>
      <c r="AA347" s="12"/>
      <c r="AB347" s="12"/>
      <c r="AC347" s="12"/>
      <c r="AD347" s="12"/>
      <c r="AE347" s="45">
        <f t="shared" si="59"/>
        <v>162318</v>
      </c>
    </row>
    <row r="348" spans="2:33">
      <c r="B348" s="312"/>
      <c r="C348" s="335"/>
      <c r="D348" s="326"/>
      <c r="E348" s="269" t="s">
        <v>492</v>
      </c>
      <c r="F348" s="177"/>
      <c r="G348" s="177"/>
      <c r="H348" s="177"/>
      <c r="I348" s="177"/>
      <c r="J348" s="237"/>
      <c r="K348" s="237"/>
      <c r="L348" s="177"/>
      <c r="M348" s="177"/>
      <c r="N348" s="237"/>
      <c r="O348" s="180">
        <v>349313</v>
      </c>
      <c r="P348" s="180"/>
      <c r="Q348" s="180"/>
      <c r="R348" s="180"/>
      <c r="S348" s="180"/>
      <c r="T348" s="180"/>
      <c r="U348" s="180"/>
      <c r="V348" s="180"/>
      <c r="W348" s="180"/>
      <c r="X348" s="180"/>
      <c r="Y348" s="145"/>
      <c r="AA348" s="12"/>
      <c r="AB348" s="12"/>
      <c r="AC348" s="12"/>
      <c r="AD348" s="12"/>
      <c r="AE348" s="45">
        <f t="shared" si="59"/>
        <v>349313</v>
      </c>
    </row>
    <row r="349" spans="2:33">
      <c r="B349" s="313"/>
      <c r="C349" s="336"/>
      <c r="D349" s="327"/>
      <c r="E349" s="269" t="s">
        <v>494</v>
      </c>
      <c r="F349" s="177"/>
      <c r="G349" s="177"/>
      <c r="H349" s="177"/>
      <c r="I349" s="177"/>
      <c r="J349" s="237"/>
      <c r="K349" s="237"/>
      <c r="L349" s="177"/>
      <c r="M349" s="177"/>
      <c r="N349" s="237"/>
      <c r="O349" s="180"/>
      <c r="P349" s="180"/>
      <c r="Q349" s="180"/>
      <c r="R349" s="180"/>
      <c r="S349" s="180"/>
      <c r="T349" s="180"/>
      <c r="U349" s="180"/>
      <c r="V349" s="180">
        <v>283721</v>
      </c>
      <c r="W349" s="180"/>
      <c r="X349" s="180"/>
      <c r="Y349" s="145"/>
      <c r="AA349" s="12"/>
      <c r="AB349" s="12"/>
      <c r="AC349" s="12"/>
      <c r="AD349" s="12"/>
      <c r="AE349" s="45">
        <f t="shared" si="59"/>
        <v>283721</v>
      </c>
    </row>
    <row r="350" spans="2:33">
      <c r="B350" s="34" t="s">
        <v>512</v>
      </c>
      <c r="C350" s="161">
        <v>45173</v>
      </c>
      <c r="D350" s="173">
        <v>1320.5</v>
      </c>
      <c r="E350" s="269" t="s">
        <v>514</v>
      </c>
      <c r="F350" s="177"/>
      <c r="G350" s="177"/>
      <c r="H350" s="177"/>
      <c r="I350" s="177"/>
      <c r="J350" s="237"/>
      <c r="K350" s="237"/>
      <c r="L350" s="177"/>
      <c r="M350" s="177"/>
      <c r="N350" s="237"/>
      <c r="O350" s="180"/>
      <c r="P350" s="180"/>
      <c r="Q350" s="180"/>
      <c r="R350" s="180"/>
      <c r="S350" s="180"/>
      <c r="T350" s="180"/>
      <c r="U350" s="180">
        <v>1741764</v>
      </c>
      <c r="V350" s="180"/>
      <c r="W350" s="180"/>
      <c r="X350" s="180"/>
      <c r="Y350" s="145"/>
      <c r="AA350" s="12"/>
      <c r="AB350" s="12"/>
      <c r="AC350" s="12"/>
      <c r="AD350" s="12"/>
      <c r="AE350" s="45">
        <f t="shared" si="59"/>
        <v>1741764</v>
      </c>
    </row>
    <row r="351" spans="2:33">
      <c r="B351" s="311" t="s">
        <v>519</v>
      </c>
      <c r="C351" s="161">
        <v>45208</v>
      </c>
      <c r="D351" s="173">
        <v>1362</v>
      </c>
      <c r="E351" s="269" t="s">
        <v>514</v>
      </c>
      <c r="F351" s="177"/>
      <c r="G351" s="177"/>
      <c r="H351" s="177"/>
      <c r="I351" s="177"/>
      <c r="J351" s="237"/>
      <c r="K351" s="237"/>
      <c r="L351" s="177"/>
      <c r="M351" s="177"/>
      <c r="N351" s="237"/>
      <c r="O351" s="180"/>
      <c r="P351" s="180"/>
      <c r="Q351" s="180"/>
      <c r="R351" s="180"/>
      <c r="S351" s="180"/>
      <c r="T351" s="180"/>
      <c r="U351" s="180">
        <v>2569750</v>
      </c>
      <c r="V351" s="180"/>
      <c r="W351" s="180"/>
      <c r="X351" s="180"/>
      <c r="Y351" s="145"/>
      <c r="AA351" s="12"/>
      <c r="AB351" s="12"/>
      <c r="AC351" s="12"/>
      <c r="AD351" s="12"/>
      <c r="AE351" s="45">
        <f t="shared" si="59"/>
        <v>2569750</v>
      </c>
      <c r="AF351" s="45">
        <f>SUM(AE351:AE352)</f>
        <v>2790014</v>
      </c>
    </row>
    <row r="352" spans="2:33">
      <c r="B352" s="313"/>
      <c r="C352" s="161">
        <v>45208</v>
      </c>
      <c r="D352" s="173">
        <v>1362</v>
      </c>
      <c r="E352" s="269" t="s">
        <v>522</v>
      </c>
      <c r="F352" s="177"/>
      <c r="G352" s="177"/>
      <c r="H352" s="177"/>
      <c r="I352" s="177"/>
      <c r="J352" s="237"/>
      <c r="K352" s="237"/>
      <c r="L352" s="177"/>
      <c r="M352" s="177"/>
      <c r="N352" s="237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>
        <v>220264</v>
      </c>
      <c r="Y352" s="145"/>
      <c r="AA352" s="12"/>
      <c r="AB352" s="12"/>
      <c r="AC352" s="12"/>
      <c r="AD352" s="12"/>
      <c r="AE352" s="45">
        <f t="shared" si="59"/>
        <v>220264</v>
      </c>
    </row>
    <row r="353" spans="1:31">
      <c r="B353" s="34" t="s">
        <v>540</v>
      </c>
      <c r="C353" s="161">
        <v>45233</v>
      </c>
      <c r="D353" s="173">
        <v>1358</v>
      </c>
      <c r="E353" s="269" t="s">
        <v>541</v>
      </c>
      <c r="F353" s="177"/>
      <c r="G353" s="177"/>
      <c r="H353" s="177"/>
      <c r="I353" s="177"/>
      <c r="J353" s="237"/>
      <c r="K353" s="237"/>
      <c r="L353" s="177"/>
      <c r="M353" s="177"/>
      <c r="N353" s="237"/>
      <c r="O353" s="180">
        <v>12100971</v>
      </c>
      <c r="P353" s="180"/>
      <c r="Q353" s="180"/>
      <c r="R353" s="180"/>
      <c r="S353" s="180"/>
      <c r="T353" s="180"/>
      <c r="U353" s="180"/>
      <c r="V353" s="180"/>
      <c r="W353" s="180"/>
      <c r="X353" s="180"/>
      <c r="Y353" s="145"/>
      <c r="AA353" s="12"/>
      <c r="AB353" s="12"/>
      <c r="AC353" s="12"/>
      <c r="AD353" s="12"/>
      <c r="AE353" s="45">
        <f t="shared" si="59"/>
        <v>12100971</v>
      </c>
    </row>
    <row r="354" spans="1:31">
      <c r="B354" s="34"/>
      <c r="C354" s="161"/>
      <c r="D354" s="173"/>
      <c r="E354" s="269"/>
      <c r="F354" s="177"/>
      <c r="G354" s="177"/>
      <c r="H354" s="177"/>
      <c r="I354" s="177"/>
      <c r="J354" s="237"/>
      <c r="K354" s="237"/>
      <c r="L354" s="177"/>
      <c r="M354" s="177"/>
      <c r="N354" s="237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45"/>
      <c r="AA354" s="12"/>
      <c r="AB354" s="12"/>
      <c r="AC354" s="12"/>
      <c r="AD354" s="12"/>
      <c r="AE354" s="45">
        <f t="shared" si="59"/>
        <v>0</v>
      </c>
    </row>
    <row r="355" spans="1:31">
      <c r="B355" s="34"/>
      <c r="C355" s="161"/>
      <c r="D355" s="173"/>
      <c r="E355" s="269"/>
      <c r="F355" s="177"/>
      <c r="G355" s="177"/>
      <c r="H355" s="177"/>
      <c r="I355" s="177"/>
      <c r="J355" s="237"/>
      <c r="K355" s="237"/>
      <c r="L355" s="177"/>
      <c r="M355" s="177"/>
      <c r="N355" s="237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45"/>
      <c r="AA355" s="12"/>
      <c r="AB355" s="12"/>
      <c r="AC355" s="12"/>
      <c r="AD355" s="12"/>
      <c r="AE355" s="45">
        <f t="shared" si="59"/>
        <v>0</v>
      </c>
    </row>
    <row r="356" spans="1:31">
      <c r="B356" s="34"/>
      <c r="C356" s="161"/>
      <c r="D356" s="173"/>
      <c r="E356" s="269"/>
      <c r="F356" s="177"/>
      <c r="G356" s="177"/>
      <c r="H356" s="177"/>
      <c r="I356" s="177"/>
      <c r="J356" s="237"/>
      <c r="K356" s="237"/>
      <c r="L356" s="177"/>
      <c r="M356" s="177"/>
      <c r="N356" s="237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45"/>
      <c r="AA356" s="12"/>
      <c r="AB356" s="12"/>
      <c r="AC356" s="12"/>
      <c r="AD356" s="12"/>
      <c r="AE356" s="45">
        <f t="shared" si="59"/>
        <v>0</v>
      </c>
    </row>
    <row r="357" spans="1:31">
      <c r="B357" s="22" t="s">
        <v>394</v>
      </c>
      <c r="C357" s="22"/>
      <c r="D357" s="22" t="s">
        <v>50</v>
      </c>
      <c r="E357" s="23">
        <f>SUM(F357:Y357)</f>
        <v>1032042181</v>
      </c>
      <c r="F357" s="28">
        <f>ROUND(SUM(F184:F356),0)</f>
        <v>134077737</v>
      </c>
      <c r="G357" s="28">
        <f t="shared" ref="G357:Y357" si="60">ROUND(SUM(G184:G356),0)</f>
        <v>19948570</v>
      </c>
      <c r="H357" s="28">
        <f t="shared" si="60"/>
        <v>86650936</v>
      </c>
      <c r="I357" s="28">
        <f t="shared" si="60"/>
        <v>35692574</v>
      </c>
      <c r="J357" s="28">
        <f t="shared" si="60"/>
        <v>37427531</v>
      </c>
      <c r="K357" s="28">
        <f t="shared" si="60"/>
        <v>27974528</v>
      </c>
      <c r="L357" s="28">
        <f t="shared" si="60"/>
        <v>34823496</v>
      </c>
      <c r="M357" s="28">
        <f t="shared" si="60"/>
        <v>24185499</v>
      </c>
      <c r="N357" s="28">
        <f t="shared" si="60"/>
        <v>91016492</v>
      </c>
      <c r="O357" s="28">
        <f t="shared" si="60"/>
        <v>144563531</v>
      </c>
      <c r="P357" s="28">
        <f t="shared" si="60"/>
        <v>473377</v>
      </c>
      <c r="Q357" s="28">
        <f t="shared" si="60"/>
        <v>58929481</v>
      </c>
      <c r="R357" s="28">
        <f t="shared" si="60"/>
        <v>23297486</v>
      </c>
      <c r="S357" s="28">
        <f t="shared" si="60"/>
        <v>67478673</v>
      </c>
      <c r="T357" s="28">
        <f t="shared" si="60"/>
        <v>51327081</v>
      </c>
      <c r="U357" s="28">
        <f>ROUND(SUM(U184:U356),0)</f>
        <v>90720750</v>
      </c>
      <c r="V357" s="28">
        <f t="shared" si="60"/>
        <v>64790298</v>
      </c>
      <c r="W357" s="28">
        <f t="shared" si="60"/>
        <v>3753801</v>
      </c>
      <c r="X357" s="28">
        <f t="shared" si="60"/>
        <v>32386757</v>
      </c>
      <c r="Y357" s="28">
        <f t="shared" si="60"/>
        <v>2523583</v>
      </c>
      <c r="AA357" s="23">
        <f>SUM(AA184:AA262)</f>
        <v>3980718</v>
      </c>
      <c r="AB357" s="23">
        <f>SUM(AB184:AB262)</f>
        <v>2540359</v>
      </c>
      <c r="AC357" s="23">
        <f>SUM(AC184:AC262)</f>
        <v>2448037</v>
      </c>
      <c r="AD357" s="23">
        <f>SUM(AD184:AD262)</f>
        <v>3796297</v>
      </c>
      <c r="AE357" s="45">
        <f t="shared" si="59"/>
        <v>1032042181</v>
      </c>
    </row>
    <row r="358" spans="1:31">
      <c r="B358" s="251" t="s">
        <v>391</v>
      </c>
      <c r="C358" s="252">
        <v>44379</v>
      </c>
      <c r="D358" s="249"/>
      <c r="E358" s="250" t="s">
        <v>392</v>
      </c>
      <c r="F358" s="237">
        <v>-98820000</v>
      </c>
      <c r="G358" s="237">
        <v>-26400000</v>
      </c>
      <c r="H358" s="237">
        <v>-86077115</v>
      </c>
      <c r="I358" s="237"/>
      <c r="J358" s="237">
        <v>-34410000</v>
      </c>
      <c r="K358" s="237">
        <v>-5820000</v>
      </c>
      <c r="L358" s="237"/>
      <c r="M358" s="237"/>
      <c r="N358" s="237"/>
      <c r="O358" s="237"/>
      <c r="P358" s="237"/>
      <c r="Q358" s="176"/>
      <c r="R358" s="176"/>
      <c r="S358" s="176"/>
      <c r="T358" s="176"/>
      <c r="U358" s="176"/>
      <c r="V358" s="176"/>
      <c r="W358" s="176"/>
      <c r="X358" s="176"/>
      <c r="Y358" s="5"/>
      <c r="AA358" s="12"/>
      <c r="AB358" s="12"/>
      <c r="AC358" s="12"/>
      <c r="AD358" s="12"/>
      <c r="AE358" s="45">
        <f t="shared" si="59"/>
        <v>-251527115</v>
      </c>
    </row>
    <row r="359" spans="1:31">
      <c r="B359" s="251"/>
      <c r="C359" s="252" t="s">
        <v>401</v>
      </c>
      <c r="D359" s="249"/>
      <c r="E359" s="250"/>
      <c r="F359" s="237"/>
      <c r="G359" s="237"/>
      <c r="H359" s="237"/>
      <c r="I359" s="237">
        <v>-31200000</v>
      </c>
      <c r="J359" s="237"/>
      <c r="K359" s="237"/>
      <c r="L359" s="237"/>
      <c r="M359" s="237">
        <v>-9500000</v>
      </c>
      <c r="N359" s="237"/>
      <c r="O359" s="237"/>
      <c r="P359" s="237"/>
      <c r="Q359" s="176"/>
      <c r="R359" s="176"/>
      <c r="S359" s="176"/>
      <c r="T359" s="176"/>
      <c r="U359" s="176"/>
      <c r="V359" s="176"/>
      <c r="W359" s="176"/>
      <c r="X359" s="176"/>
      <c r="Y359" s="5"/>
      <c r="AA359" s="12"/>
      <c r="AB359" s="12"/>
      <c r="AC359" s="12"/>
      <c r="AD359" s="12"/>
      <c r="AE359" s="45">
        <f t="shared" si="59"/>
        <v>-40700000</v>
      </c>
    </row>
    <row r="360" spans="1:31">
      <c r="B360" s="251"/>
      <c r="C360" s="252" t="s">
        <v>436</v>
      </c>
      <c r="D360" s="249"/>
      <c r="E360" s="250" t="s">
        <v>437</v>
      </c>
      <c r="F360" s="237">
        <v>-3200000</v>
      </c>
      <c r="G360" s="237"/>
      <c r="H360" s="237"/>
      <c r="I360" s="237"/>
      <c r="J360" s="237"/>
      <c r="K360" s="237"/>
      <c r="L360" s="237"/>
      <c r="M360" s="237"/>
      <c r="N360" s="237"/>
      <c r="O360" s="237"/>
      <c r="P360" s="237"/>
      <c r="Q360" s="176"/>
      <c r="R360" s="176"/>
      <c r="S360" s="176"/>
      <c r="T360" s="176"/>
      <c r="U360" s="176"/>
      <c r="V360" s="176"/>
      <c r="W360" s="176"/>
      <c r="X360" s="176"/>
      <c r="Y360" s="5"/>
      <c r="AA360" s="12"/>
      <c r="AB360" s="12"/>
      <c r="AC360" s="12"/>
      <c r="AD360" s="12"/>
      <c r="AE360" s="45">
        <f t="shared" si="59"/>
        <v>-3200000</v>
      </c>
    </row>
    <row r="361" spans="1:31">
      <c r="B361" s="251"/>
      <c r="C361" s="252" t="s">
        <v>423</v>
      </c>
      <c r="D361" s="249"/>
      <c r="E361" s="250" t="s">
        <v>424</v>
      </c>
      <c r="F361" s="237"/>
      <c r="G361" s="237"/>
      <c r="H361" s="237"/>
      <c r="I361" s="237">
        <v>-4000000</v>
      </c>
      <c r="J361" s="237"/>
      <c r="K361" s="237">
        <v>-21800000</v>
      </c>
      <c r="L361" s="237">
        <v>-34400000</v>
      </c>
      <c r="M361" s="237"/>
      <c r="N361" s="237">
        <v>-33300000</v>
      </c>
      <c r="O361" s="237"/>
      <c r="P361" s="237"/>
      <c r="Q361" s="237">
        <v>-58500000</v>
      </c>
      <c r="R361" s="237"/>
      <c r="S361" s="237">
        <v>-29300000</v>
      </c>
      <c r="T361" s="237"/>
      <c r="U361" s="237"/>
      <c r="V361" s="237"/>
      <c r="W361" s="237">
        <v>-3300000</v>
      </c>
      <c r="X361" s="237"/>
      <c r="Y361" s="237"/>
      <c r="AA361" s="12"/>
      <c r="AB361" s="12"/>
      <c r="AC361" s="12"/>
      <c r="AD361" s="12"/>
      <c r="AE361" s="45">
        <f t="shared" si="59"/>
        <v>-184600000</v>
      </c>
    </row>
    <row r="362" spans="1:31">
      <c r="B362" s="251"/>
      <c r="C362" s="252" t="s">
        <v>426</v>
      </c>
      <c r="D362" s="249"/>
      <c r="E362" s="250" t="s">
        <v>425</v>
      </c>
      <c r="F362" s="237"/>
      <c r="G362" s="237"/>
      <c r="H362" s="237"/>
      <c r="I362" s="237"/>
      <c r="J362" s="237">
        <v>-2500000</v>
      </c>
      <c r="K362" s="237"/>
      <c r="L362" s="237"/>
      <c r="M362" s="237"/>
      <c r="N362" s="237"/>
      <c r="O362" s="237"/>
      <c r="P362" s="237"/>
      <c r="Q362" s="237"/>
      <c r="R362" s="237"/>
      <c r="S362" s="237"/>
      <c r="T362" s="237"/>
      <c r="U362" s="237"/>
      <c r="V362" s="237"/>
      <c r="W362" s="237"/>
      <c r="X362" s="237"/>
      <c r="Y362" s="237"/>
      <c r="AA362" s="12"/>
      <c r="AB362" s="12"/>
      <c r="AC362" s="12"/>
      <c r="AD362" s="12"/>
      <c r="AE362" s="45">
        <f t="shared" si="59"/>
        <v>-2500000</v>
      </c>
    </row>
    <row r="363" spans="1:31">
      <c r="A363" s="253"/>
      <c r="B363" s="254" t="s">
        <v>393</v>
      </c>
      <c r="C363" s="255"/>
      <c r="D363" s="22" t="s">
        <v>50</v>
      </c>
      <c r="E363" s="254"/>
      <c r="F363" s="256">
        <f>SUM(F357:F362)</f>
        <v>32057737</v>
      </c>
      <c r="G363" s="256">
        <f t="shared" ref="G363:Y363" si="61">SUM(G357:G362)</f>
        <v>-6451430</v>
      </c>
      <c r="H363" s="256">
        <f t="shared" si="61"/>
        <v>573821</v>
      </c>
      <c r="I363" s="256">
        <f t="shared" si="61"/>
        <v>492574</v>
      </c>
      <c r="J363" s="256">
        <f t="shared" si="61"/>
        <v>517531</v>
      </c>
      <c r="K363" s="256">
        <f t="shared" si="61"/>
        <v>354528</v>
      </c>
      <c r="L363" s="256">
        <f t="shared" si="61"/>
        <v>423496</v>
      </c>
      <c r="M363" s="256">
        <f t="shared" si="61"/>
        <v>14685499</v>
      </c>
      <c r="N363" s="256">
        <f t="shared" si="61"/>
        <v>57716492</v>
      </c>
      <c r="O363" s="256">
        <f t="shared" si="61"/>
        <v>144563531</v>
      </c>
      <c r="P363" s="256">
        <f t="shared" si="61"/>
        <v>473377</v>
      </c>
      <c r="Q363" s="256">
        <f t="shared" si="61"/>
        <v>429481</v>
      </c>
      <c r="R363" s="256">
        <f t="shared" si="61"/>
        <v>23297486</v>
      </c>
      <c r="S363" s="256">
        <f t="shared" si="61"/>
        <v>38178673</v>
      </c>
      <c r="T363" s="256">
        <f t="shared" si="61"/>
        <v>51327081</v>
      </c>
      <c r="U363" s="256">
        <f t="shared" si="61"/>
        <v>90720750</v>
      </c>
      <c r="V363" s="256">
        <f t="shared" si="61"/>
        <v>64790298</v>
      </c>
      <c r="W363" s="256">
        <f t="shared" si="61"/>
        <v>453801</v>
      </c>
      <c r="X363" s="256">
        <f t="shared" si="61"/>
        <v>32386757</v>
      </c>
      <c r="Y363" s="256">
        <f t="shared" si="61"/>
        <v>2523583</v>
      </c>
      <c r="AA363" s="104"/>
      <c r="AB363" s="104"/>
      <c r="AC363" s="104"/>
      <c r="AD363" s="104"/>
      <c r="AE363" s="45">
        <f t="shared" si="59"/>
        <v>549515066</v>
      </c>
    </row>
    <row r="364" spans="1:31">
      <c r="B364" s="24"/>
      <c r="C364" s="24"/>
      <c r="D364" s="24" t="s">
        <v>379</v>
      </c>
      <c r="E364" s="41"/>
      <c r="F364" s="218">
        <v>132761024</v>
      </c>
      <c r="G364" s="218">
        <v>26414771.699999999</v>
      </c>
      <c r="H364" s="218">
        <v>86077145</v>
      </c>
      <c r="I364" s="218">
        <v>35199151</v>
      </c>
      <c r="J364" s="218">
        <v>37183739</v>
      </c>
      <c r="K364" s="218">
        <v>27551499</v>
      </c>
      <c r="L364" s="218">
        <v>34315225</v>
      </c>
      <c r="M364" s="218">
        <v>23824913</v>
      </c>
      <c r="N364" s="218">
        <v>89907098</v>
      </c>
      <c r="O364" s="218">
        <v>109926648</v>
      </c>
      <c r="P364" s="218">
        <v>10312376</v>
      </c>
      <c r="Q364" s="218">
        <v>58098724</v>
      </c>
      <c r="R364" s="218">
        <v>22527211</v>
      </c>
      <c r="S364" s="218">
        <v>65883192</v>
      </c>
      <c r="T364" s="218">
        <v>49691015</v>
      </c>
      <c r="U364" s="218">
        <v>54289301</v>
      </c>
      <c r="V364" s="218">
        <v>30783933</v>
      </c>
      <c r="W364" s="218">
        <v>3194855</v>
      </c>
      <c r="X364" s="245">
        <v>3435434</v>
      </c>
      <c r="Y364" s="219">
        <v>3246478</v>
      </c>
      <c r="AA364" s="23"/>
      <c r="AB364" s="23"/>
      <c r="AC364" s="23"/>
      <c r="AD364" s="23"/>
      <c r="AE364" s="45">
        <f t="shared" si="59"/>
        <v>904623732.70000005</v>
      </c>
    </row>
    <row r="365" spans="1:31">
      <c r="E365" s="6" t="s">
        <v>318</v>
      </c>
      <c r="F365" s="220">
        <f>F357-F364</f>
        <v>1316713</v>
      </c>
      <c r="G365" s="239">
        <f>ROUND(G357-G364,0)</f>
        <v>-6466202</v>
      </c>
      <c r="H365" s="221">
        <f>H357-H364</f>
        <v>573791</v>
      </c>
      <c r="I365" s="221">
        <f t="shared" ref="I365:Y365" si="62">I357-I364</f>
        <v>493423</v>
      </c>
      <c r="J365" s="221">
        <f t="shared" si="62"/>
        <v>243792</v>
      </c>
      <c r="K365" s="221">
        <f t="shared" si="62"/>
        <v>423029</v>
      </c>
      <c r="L365" s="221">
        <f t="shared" si="62"/>
        <v>508271</v>
      </c>
      <c r="M365" s="221">
        <f t="shared" si="62"/>
        <v>360586</v>
      </c>
      <c r="N365" s="221">
        <f t="shared" si="62"/>
        <v>1109394</v>
      </c>
      <c r="O365" s="222">
        <f t="shared" si="62"/>
        <v>34636883</v>
      </c>
      <c r="P365" s="223">
        <f t="shared" si="62"/>
        <v>-9838999</v>
      </c>
      <c r="Q365" s="223">
        <f t="shared" si="62"/>
        <v>830757</v>
      </c>
      <c r="R365" s="223">
        <f t="shared" si="62"/>
        <v>770275</v>
      </c>
      <c r="S365" s="223">
        <f t="shared" si="62"/>
        <v>1595481</v>
      </c>
      <c r="T365" s="223">
        <f t="shared" si="62"/>
        <v>1636066</v>
      </c>
      <c r="U365" s="223">
        <f t="shared" si="62"/>
        <v>36431449</v>
      </c>
      <c r="V365" s="223">
        <f t="shared" si="62"/>
        <v>34006365</v>
      </c>
      <c r="W365" s="223">
        <f t="shared" si="62"/>
        <v>558946</v>
      </c>
      <c r="X365" s="223">
        <f t="shared" si="62"/>
        <v>28951323</v>
      </c>
      <c r="Y365" s="223">
        <f t="shared" si="62"/>
        <v>-722895</v>
      </c>
    </row>
    <row r="366" spans="1:31">
      <c r="E366" s="6" t="s">
        <v>316</v>
      </c>
      <c r="F366" s="224"/>
      <c r="G366" s="225">
        <f>+G243+G246</f>
        <v>-6631400</v>
      </c>
      <c r="H366" s="224"/>
      <c r="I366" s="224"/>
      <c r="J366" s="224"/>
      <c r="K366" s="226"/>
      <c r="L366" s="224"/>
      <c r="M366" s="224"/>
      <c r="N366" s="224"/>
      <c r="O366" s="224"/>
      <c r="P366" s="224"/>
      <c r="Q366" s="224"/>
      <c r="R366" s="224"/>
      <c r="S366" s="224"/>
      <c r="T366" s="224"/>
      <c r="U366" s="224"/>
      <c r="V366" s="224"/>
      <c r="W366" s="224"/>
      <c r="X366" s="224"/>
      <c r="Y366" s="224"/>
    </row>
    <row r="367" spans="1:31">
      <c r="E367" s="6" t="s">
        <v>319</v>
      </c>
      <c r="F367" s="227"/>
      <c r="G367" s="227"/>
      <c r="H367" s="228">
        <v>500000</v>
      </c>
      <c r="I367" s="228">
        <f>+I209</f>
        <v>444444</v>
      </c>
      <c r="J367" s="228">
        <f t="shared" ref="J367:O367" si="63">J242</f>
        <v>206542</v>
      </c>
      <c r="K367" s="228">
        <f t="shared" si="63"/>
        <v>206542</v>
      </c>
      <c r="L367" s="228">
        <f t="shared" si="63"/>
        <v>206542</v>
      </c>
      <c r="M367" s="228">
        <f t="shared" si="63"/>
        <v>206542</v>
      </c>
      <c r="N367" s="228">
        <f t="shared" si="63"/>
        <v>206542</v>
      </c>
      <c r="O367" s="228">
        <f t="shared" si="63"/>
        <v>206542</v>
      </c>
      <c r="P367" s="228"/>
      <c r="Q367" s="228">
        <f>Q242</f>
        <v>206542</v>
      </c>
      <c r="R367" s="162">
        <f>+R253</f>
        <v>205909</v>
      </c>
      <c r="S367" s="162">
        <f>+S253</f>
        <v>205909</v>
      </c>
      <c r="T367" s="25">
        <f>+T273</f>
        <v>194257</v>
      </c>
      <c r="U367" s="25">
        <f>+U273</f>
        <v>194257</v>
      </c>
      <c r="V367" s="25">
        <v>195795</v>
      </c>
      <c r="W367" s="25">
        <v>195795</v>
      </c>
      <c r="X367" s="25">
        <v>212432</v>
      </c>
      <c r="Y367" s="25"/>
    </row>
    <row r="368" spans="1:31">
      <c r="E368" s="6" t="s">
        <v>391</v>
      </c>
      <c r="F368" s="227">
        <f>F358</f>
        <v>-98820000</v>
      </c>
      <c r="G368" s="227">
        <f t="shared" ref="G368:K368" si="64">G358</f>
        <v>-26400000</v>
      </c>
      <c r="H368" s="227">
        <f t="shared" si="64"/>
        <v>-86077115</v>
      </c>
      <c r="I368" s="227">
        <f t="shared" si="64"/>
        <v>0</v>
      </c>
      <c r="J368" s="227">
        <f t="shared" si="64"/>
        <v>-34410000</v>
      </c>
      <c r="K368" s="227">
        <f t="shared" si="64"/>
        <v>-5820000</v>
      </c>
      <c r="L368" s="228"/>
      <c r="M368" s="228"/>
      <c r="N368" s="228"/>
      <c r="O368" s="228"/>
      <c r="P368" s="228"/>
      <c r="Q368" s="228"/>
      <c r="R368" s="162"/>
      <c r="S368" s="162"/>
      <c r="T368" s="25"/>
      <c r="U368" s="25"/>
      <c r="V368" s="25"/>
      <c r="W368" s="25"/>
      <c r="X368" s="25"/>
      <c r="Y368" s="25"/>
    </row>
    <row r="369" spans="5:25">
      <c r="E369" s="6" t="s">
        <v>320</v>
      </c>
      <c r="F369" s="228">
        <v>-10</v>
      </c>
      <c r="G369" s="225">
        <v>-110</v>
      </c>
      <c r="H369" s="228">
        <v>-130</v>
      </c>
      <c r="I369" s="228">
        <v>-130</v>
      </c>
      <c r="J369" s="228">
        <v>-130</v>
      </c>
      <c r="K369" s="228">
        <v>-130</v>
      </c>
      <c r="L369" s="228">
        <v>-130</v>
      </c>
      <c r="M369" s="228">
        <v>-130</v>
      </c>
      <c r="N369" s="228">
        <v>-130</v>
      </c>
      <c r="O369" s="228">
        <v>-130</v>
      </c>
      <c r="P369" s="228">
        <f>-8695.66-130</f>
        <v>-8825.66</v>
      </c>
      <c r="Q369" s="228">
        <v>-130</v>
      </c>
      <c r="R369" s="228">
        <v>-130</v>
      </c>
      <c r="S369" s="228">
        <v>-130</v>
      </c>
      <c r="T369" s="25">
        <v>-130</v>
      </c>
      <c r="U369" s="25">
        <v>-130</v>
      </c>
      <c r="V369" s="25">
        <v>-130</v>
      </c>
      <c r="W369" s="25">
        <v>-130</v>
      </c>
      <c r="X369" s="25">
        <v>-130</v>
      </c>
      <c r="Y369" s="25"/>
    </row>
    <row r="370" spans="5:25">
      <c r="E370" s="6" t="s">
        <v>334</v>
      </c>
      <c r="F370" s="228">
        <f t="shared" ref="F370:Y370" si="65">+SUM(F302:F339)</f>
        <v>643255</v>
      </c>
      <c r="G370" s="228">
        <f t="shared" si="65"/>
        <v>29337</v>
      </c>
      <c r="H370" s="228">
        <f t="shared" si="65"/>
        <v>73921</v>
      </c>
      <c r="I370" s="228">
        <f t="shared" si="65"/>
        <v>212530</v>
      </c>
      <c r="J370" s="228">
        <f t="shared" si="65"/>
        <v>37380</v>
      </c>
      <c r="K370" s="228">
        <f t="shared" si="65"/>
        <v>216617</v>
      </c>
      <c r="L370" s="228">
        <f t="shared" si="65"/>
        <v>301859</v>
      </c>
      <c r="M370" s="228">
        <f t="shared" si="65"/>
        <v>154174</v>
      </c>
      <c r="N370" s="228">
        <f t="shared" si="65"/>
        <v>929118</v>
      </c>
      <c r="O370" s="228">
        <f t="shared" si="65"/>
        <v>21056250</v>
      </c>
      <c r="P370" s="228">
        <f t="shared" si="65"/>
        <v>50727</v>
      </c>
      <c r="Q370" s="228">
        <f t="shared" si="65"/>
        <v>624345</v>
      </c>
      <c r="R370" s="228">
        <f t="shared" si="65"/>
        <v>564496</v>
      </c>
      <c r="S370" s="228">
        <f t="shared" si="65"/>
        <v>1389702</v>
      </c>
      <c r="T370" s="228">
        <f t="shared" si="65"/>
        <v>1441939</v>
      </c>
      <c r="U370" s="228">
        <f t="shared" si="65"/>
        <v>27387703</v>
      </c>
      <c r="V370" s="228">
        <f t="shared" si="65"/>
        <v>33269387</v>
      </c>
      <c r="W370" s="228">
        <f t="shared" si="65"/>
        <v>363281</v>
      </c>
      <c r="X370" s="228">
        <f t="shared" si="65"/>
        <v>28202355</v>
      </c>
      <c r="Y370" s="228">
        <f t="shared" si="65"/>
        <v>0</v>
      </c>
    </row>
    <row r="371" spans="5:25">
      <c r="E371" s="6" t="s">
        <v>317</v>
      </c>
      <c r="F371" s="46">
        <v>673468</v>
      </c>
      <c r="G371" s="162">
        <f>G187</f>
        <v>135971</v>
      </c>
      <c r="H371" s="228"/>
      <c r="I371" s="162"/>
      <c r="J371" s="162"/>
      <c r="K371" s="228"/>
      <c r="L371" s="162"/>
      <c r="M371" s="162"/>
      <c r="N371" s="229">
        <v>-26136</v>
      </c>
      <c r="O371" s="162"/>
      <c r="P371" s="162"/>
      <c r="Q371" s="162"/>
      <c r="R371" s="162"/>
      <c r="S371" s="162"/>
      <c r="T371" s="25"/>
      <c r="U371" s="25"/>
      <c r="V371" s="25"/>
      <c r="W371" s="25"/>
      <c r="X371" s="25"/>
      <c r="Y371" s="25"/>
    </row>
    <row r="372" spans="5:25">
      <c r="F372" s="174" t="b">
        <f>F365=SUM(F369:F371)</f>
        <v>1</v>
      </c>
      <c r="G372" s="174" t="b">
        <f>G365=SUM(G369:G371)+G366</f>
        <v>1</v>
      </c>
      <c r="H372" s="174" t="b">
        <f>H365=SUM(H369:H371)+H367</f>
        <v>1</v>
      </c>
      <c r="I372" s="174" t="b">
        <f t="shared" ref="I372:X372" si="66">I365=SUM(I369:I371)+I367</f>
        <v>0</v>
      </c>
      <c r="J372" s="174" t="b">
        <f t="shared" si="66"/>
        <v>1</v>
      </c>
      <c r="K372" s="174" t="b">
        <f t="shared" si="66"/>
        <v>1</v>
      </c>
      <c r="L372" s="174" t="b">
        <f t="shared" si="66"/>
        <v>1</v>
      </c>
      <c r="M372" s="174" t="b">
        <f t="shared" si="66"/>
        <v>1</v>
      </c>
      <c r="N372" s="174" t="b">
        <f t="shared" si="66"/>
        <v>1</v>
      </c>
      <c r="O372" s="174" t="b">
        <f t="shared" si="66"/>
        <v>0</v>
      </c>
      <c r="P372" s="174" t="b">
        <f>P365=(SUM(P369:P371)+P367)</f>
        <v>0</v>
      </c>
      <c r="Q372" s="174" t="b">
        <f t="shared" si="66"/>
        <v>1</v>
      </c>
      <c r="R372" s="174" t="b">
        <f t="shared" si="66"/>
        <v>1</v>
      </c>
      <c r="S372" s="174" t="b">
        <f t="shared" si="66"/>
        <v>1</v>
      </c>
      <c r="T372" s="174" t="b">
        <f t="shared" si="66"/>
        <v>1</v>
      </c>
      <c r="U372" s="174" t="b">
        <f t="shared" si="66"/>
        <v>0</v>
      </c>
      <c r="V372" s="174" t="b">
        <f t="shared" si="66"/>
        <v>0</v>
      </c>
      <c r="W372" s="174" t="b">
        <f t="shared" si="66"/>
        <v>1</v>
      </c>
      <c r="X372" s="174" t="b">
        <f t="shared" si="66"/>
        <v>0</v>
      </c>
      <c r="Y372" s="175" t="b">
        <f>Y365=SUM(Y366:Y371)</f>
        <v>0</v>
      </c>
    </row>
    <row r="373" spans="5:25">
      <c r="E373" s="7">
        <f>E357-P357-SUM(U357:Y357)</f>
        <v>837393615</v>
      </c>
      <c r="G373" s="7">
        <f>G357-G366</f>
        <v>26579970</v>
      </c>
      <c r="K373" s="7">
        <f>K357-K322+K323</f>
        <v>27952333</v>
      </c>
      <c r="P373" s="267">
        <f>P372-(P365-(SUM(P369:P371)+P367))</f>
        <v>9880900.3399999999</v>
      </c>
      <c r="U373" s="7"/>
      <c r="V373" s="7"/>
    </row>
    <row r="374" spans="5:25">
      <c r="G374" s="7"/>
      <c r="J374" s="6">
        <v>275690</v>
      </c>
      <c r="R374" s="6">
        <v>462368</v>
      </c>
      <c r="S374" s="7">
        <f>R374-S278</f>
        <v>-66128</v>
      </c>
      <c r="T374" s="6">
        <v>70389</v>
      </c>
      <c r="U374" s="7">
        <f>S374+T374</f>
        <v>4261</v>
      </c>
    </row>
    <row r="375" spans="5:25">
      <c r="J375" s="247"/>
      <c r="R375" s="7">
        <v>505989</v>
      </c>
      <c r="S375" s="7">
        <f>R375-S286</f>
        <v>66128</v>
      </c>
    </row>
    <row r="376" spans="5:25">
      <c r="J376" s="247"/>
    </row>
    <row r="377" spans="5:25">
      <c r="E377" s="7"/>
    </row>
    <row r="378" spans="5:25">
      <c r="E378" s="247"/>
    </row>
    <row r="379" spans="5:25">
      <c r="E379" s="7"/>
    </row>
    <row r="380" spans="5:25">
      <c r="G380" s="6" t="s">
        <v>532</v>
      </c>
      <c r="H380" s="6" t="s">
        <v>533</v>
      </c>
      <c r="I380" s="6" t="s">
        <v>534</v>
      </c>
      <c r="J380" s="6" t="s">
        <v>536</v>
      </c>
      <c r="K380" s="6" t="s">
        <v>537</v>
      </c>
      <c r="U380" s="45"/>
    </row>
    <row r="381" spans="5:25">
      <c r="E381" s="7"/>
      <c r="F381" s="6" t="s">
        <v>520</v>
      </c>
      <c r="G381" s="45">
        <f>SUM(U345:U348)</f>
        <v>2432306</v>
      </c>
      <c r="H381" s="7">
        <f>SUM(U350)</f>
        <v>1741764</v>
      </c>
      <c r="I381" s="7">
        <f>SUM(U351)</f>
        <v>2569750</v>
      </c>
      <c r="J381" s="6">
        <v>0</v>
      </c>
    </row>
    <row r="382" spans="5:25">
      <c r="F382" s="6" t="s">
        <v>455</v>
      </c>
      <c r="G382" s="7">
        <f>SUM(X347)</f>
        <v>162318</v>
      </c>
      <c r="H382" s="6">
        <v>0</v>
      </c>
      <c r="I382" s="7">
        <f>X352</f>
        <v>220264</v>
      </c>
      <c r="J382" s="6">
        <v>0</v>
      </c>
      <c r="U382" s="45"/>
    </row>
    <row r="383" spans="5:25">
      <c r="F383" s="6" t="s">
        <v>54</v>
      </c>
      <c r="G383" s="7">
        <f>O348</f>
        <v>349313</v>
      </c>
      <c r="H383" s="6">
        <v>0</v>
      </c>
      <c r="I383" s="6">
        <v>0</v>
      </c>
      <c r="J383" s="6">
        <v>0</v>
      </c>
      <c r="S383" s="6">
        <v>67478673</v>
      </c>
      <c r="U383" s="7"/>
    </row>
    <row r="384" spans="5:25">
      <c r="F384" s="6" t="s">
        <v>535</v>
      </c>
      <c r="G384" s="7">
        <f>V349</f>
        <v>283721</v>
      </c>
      <c r="H384" s="6">
        <v>0</v>
      </c>
      <c r="I384" s="6">
        <v>0</v>
      </c>
      <c r="J384" s="6">
        <v>0</v>
      </c>
      <c r="S384" s="6">
        <v>67478673</v>
      </c>
    </row>
    <row r="386" spans="7:10">
      <c r="G386" s="45">
        <f>SUM(G381:J384)</f>
        <v>7759436</v>
      </c>
    </row>
    <row r="388" spans="7:10">
      <c r="G388" s="6">
        <f>G381/10^6</f>
        <v>2.4323060000000001</v>
      </c>
      <c r="H388" s="6">
        <f t="shared" ref="H388:J388" si="67">H381/10^6</f>
        <v>1.7417640000000001</v>
      </c>
      <c r="I388" s="6">
        <f t="shared" si="67"/>
        <v>2.56975</v>
      </c>
      <c r="J388" s="6">
        <f t="shared" si="67"/>
        <v>0</v>
      </c>
    </row>
    <row r="389" spans="7:10">
      <c r="G389" s="6">
        <f t="shared" ref="G389:J389" si="68">G382/10^6</f>
        <v>0.16231799999999999</v>
      </c>
      <c r="H389" s="6">
        <f t="shared" si="68"/>
        <v>0</v>
      </c>
      <c r="I389" s="6">
        <f t="shared" si="68"/>
        <v>0.22026399999999999</v>
      </c>
      <c r="J389" s="6">
        <f t="shared" si="68"/>
        <v>0</v>
      </c>
    </row>
    <row r="390" spans="7:10">
      <c r="G390" s="6">
        <f t="shared" ref="G390:J390" si="69">G383/10^6</f>
        <v>0.34931299999999998</v>
      </c>
      <c r="H390" s="6">
        <f t="shared" si="69"/>
        <v>0</v>
      </c>
      <c r="I390" s="6">
        <f t="shared" si="69"/>
        <v>0</v>
      </c>
      <c r="J390" s="6">
        <f t="shared" si="69"/>
        <v>0</v>
      </c>
    </row>
    <row r="391" spans="7:10">
      <c r="G391" s="6">
        <f t="shared" ref="G391:J391" si="70">G384/10^6</f>
        <v>0.283721</v>
      </c>
      <c r="H391" s="6">
        <f t="shared" si="70"/>
        <v>0</v>
      </c>
      <c r="I391" s="6">
        <f t="shared" si="70"/>
        <v>0</v>
      </c>
      <c r="J391" s="6">
        <f t="shared" si="70"/>
        <v>0</v>
      </c>
    </row>
  </sheetData>
  <mergeCells count="166">
    <mergeCell ref="B351:B352"/>
    <mergeCell ref="B167:B168"/>
    <mergeCell ref="B341:B344"/>
    <mergeCell ref="B345:B349"/>
    <mergeCell ref="C345:C349"/>
    <mergeCell ref="D345:D349"/>
    <mergeCell ref="B326:B328"/>
    <mergeCell ref="C326:C328"/>
    <mergeCell ref="D326:D328"/>
    <mergeCell ref="B238:B240"/>
    <mergeCell ref="B241:B242"/>
    <mergeCell ref="C238:C240"/>
    <mergeCell ref="B227:B230"/>
    <mergeCell ref="C227:C230"/>
    <mergeCell ref="B220:B221"/>
    <mergeCell ref="B218:B219"/>
    <mergeCell ref="B299:B301"/>
    <mergeCell ref="D289:D292"/>
    <mergeCell ref="B285:B287"/>
    <mergeCell ref="D275:D276"/>
    <mergeCell ref="C252:C253"/>
    <mergeCell ref="B278:B279"/>
    <mergeCell ref="C267:C271"/>
    <mergeCell ref="C243:C245"/>
    <mergeCell ref="B308:B309"/>
    <mergeCell ref="C308:C309"/>
    <mergeCell ref="D308:D309"/>
    <mergeCell ref="C275:C276"/>
    <mergeCell ref="B157:B160"/>
    <mergeCell ref="B304:B306"/>
    <mergeCell ref="C304:C306"/>
    <mergeCell ref="D304:D306"/>
    <mergeCell ref="B212:B213"/>
    <mergeCell ref="C241:C242"/>
    <mergeCell ref="C212:C213"/>
    <mergeCell ref="C220:C221"/>
    <mergeCell ref="D278:D279"/>
    <mergeCell ref="C278:C279"/>
    <mergeCell ref="B272:B274"/>
    <mergeCell ref="C272:C274"/>
    <mergeCell ref="B267:B271"/>
    <mergeCell ref="B252:B253"/>
    <mergeCell ref="B254:B256"/>
    <mergeCell ref="C261:C262"/>
    <mergeCell ref="C214:C215"/>
    <mergeCell ref="B214:B215"/>
    <mergeCell ref="B243:B245"/>
    <mergeCell ref="B261:B263"/>
    <mergeCell ref="B313:B315"/>
    <mergeCell ref="C313:C315"/>
    <mergeCell ref="D313:D315"/>
    <mergeCell ref="B316:B318"/>
    <mergeCell ref="C316:C318"/>
    <mergeCell ref="D316:D318"/>
    <mergeCell ref="B310:B312"/>
    <mergeCell ref="C310:C312"/>
    <mergeCell ref="D310:D312"/>
    <mergeCell ref="D124:D125"/>
    <mergeCell ref="C200:C204"/>
    <mergeCell ref="B37:B38"/>
    <mergeCell ref="B88:B90"/>
    <mergeCell ref="B58:B59"/>
    <mergeCell ref="C105:C108"/>
    <mergeCell ref="C91:C92"/>
    <mergeCell ref="B91:B92"/>
    <mergeCell ref="B120:B122"/>
    <mergeCell ref="D161:D165"/>
    <mergeCell ref="C157:C160"/>
    <mergeCell ref="D157:D160"/>
    <mergeCell ref="C113:C114"/>
    <mergeCell ref="C120:C122"/>
    <mergeCell ref="B60:B62"/>
    <mergeCell ref="B55:B57"/>
    <mergeCell ref="C115:C117"/>
    <mergeCell ref="C94:C95"/>
    <mergeCell ref="B101:B103"/>
    <mergeCell ref="C132:C134"/>
    <mergeCell ref="B137:B139"/>
    <mergeCell ref="B142:B144"/>
    <mergeCell ref="C142:C144"/>
    <mergeCell ref="D142:D144"/>
    <mergeCell ref="B27:B29"/>
    <mergeCell ref="C27:C29"/>
    <mergeCell ref="B208:B210"/>
    <mergeCell ref="C208:C210"/>
    <mergeCell ref="B124:B125"/>
    <mergeCell ref="C124:C125"/>
    <mergeCell ref="B126:B128"/>
    <mergeCell ref="C126:C128"/>
    <mergeCell ref="B94:B95"/>
    <mergeCell ref="B200:B204"/>
    <mergeCell ref="C146:C148"/>
    <mergeCell ref="B161:B165"/>
    <mergeCell ref="B205:C207"/>
    <mergeCell ref="AF184:AF187"/>
    <mergeCell ref="AF188:AF199"/>
    <mergeCell ref="B77:B79"/>
    <mergeCell ref="D91:D92"/>
    <mergeCell ref="D94:D95"/>
    <mergeCell ref="D120:D122"/>
    <mergeCell ref="D105:D108"/>
    <mergeCell ref="D110:D112"/>
    <mergeCell ref="D113:D114"/>
    <mergeCell ref="C88:C90"/>
    <mergeCell ref="D126:D128"/>
    <mergeCell ref="D132:D134"/>
    <mergeCell ref="D115:D117"/>
    <mergeCell ref="B129:B131"/>
    <mergeCell ref="C129:C131"/>
    <mergeCell ref="D129:D131"/>
    <mergeCell ref="D146:D148"/>
    <mergeCell ref="D137:D139"/>
    <mergeCell ref="B132:B134"/>
    <mergeCell ref="B83:B87"/>
    <mergeCell ref="B115:B117"/>
    <mergeCell ref="C161:C165"/>
    <mergeCell ref="C137:C139"/>
    <mergeCell ref="B146:B148"/>
    <mergeCell ref="B17:B18"/>
    <mergeCell ref="B198:B199"/>
    <mergeCell ref="C198:C199"/>
    <mergeCell ref="C17:C18"/>
    <mergeCell ref="B31:B32"/>
    <mergeCell ref="C31:C32"/>
    <mergeCell ref="B33:B34"/>
    <mergeCell ref="C33:C34"/>
    <mergeCell ref="B24:C26"/>
    <mergeCell ref="B45:B47"/>
    <mergeCell ref="C45:C47"/>
    <mergeCell ref="B19:B23"/>
    <mergeCell ref="C60:C62"/>
    <mergeCell ref="C83:C87"/>
    <mergeCell ref="C19:C23"/>
    <mergeCell ref="C55:C57"/>
    <mergeCell ref="C58:C59"/>
    <mergeCell ref="B70:B72"/>
    <mergeCell ref="C77:C78"/>
    <mergeCell ref="B105:B108"/>
    <mergeCell ref="C101:C103"/>
    <mergeCell ref="B110:B112"/>
    <mergeCell ref="C110:C112"/>
    <mergeCell ref="B113:B114"/>
    <mergeCell ref="B336:B338"/>
    <mergeCell ref="D336:D338"/>
    <mergeCell ref="B152:B154"/>
    <mergeCell ref="C152:C154"/>
    <mergeCell ref="D152:D154"/>
    <mergeCell ref="C336:C338"/>
    <mergeCell ref="B330:B332"/>
    <mergeCell ref="C330:C332"/>
    <mergeCell ref="D330:D332"/>
    <mergeCell ref="B321:B323"/>
    <mergeCell ref="C321:C323"/>
    <mergeCell ref="D321:D323"/>
    <mergeCell ref="C299:C301"/>
    <mergeCell ref="D299:D301"/>
    <mergeCell ref="D252:D253"/>
    <mergeCell ref="B275:B276"/>
    <mergeCell ref="B297:B298"/>
    <mergeCell ref="C297:C298"/>
    <mergeCell ref="D297:D298"/>
    <mergeCell ref="D294:D296"/>
    <mergeCell ref="C294:C296"/>
    <mergeCell ref="B294:B296"/>
    <mergeCell ref="B289:B292"/>
    <mergeCell ref="C289:C292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52761-8449-4063-958D-9DA97087FCBE}">
  <sheetPr>
    <tabColor theme="5" tint="0.39997558519241921"/>
  </sheetPr>
  <dimension ref="B2:T173"/>
  <sheetViews>
    <sheetView tabSelected="1" topLeftCell="C48" zoomScaleNormal="100" workbookViewId="0">
      <selection activeCell="K69" sqref="K69:L69"/>
    </sheetView>
  </sheetViews>
  <sheetFormatPr defaultColWidth="8.75" defaultRowHeight="13.5"/>
  <cols>
    <col min="1" max="1" width="1.25" style="6" customWidth="1"/>
    <col min="2" max="2" width="13.75" style="6" customWidth="1"/>
    <col min="3" max="3" width="18.75" style="6" customWidth="1"/>
    <col min="4" max="4" width="23.75" style="6" bestFit="1" customWidth="1"/>
    <col min="5" max="5" width="66" style="6" bestFit="1" customWidth="1"/>
    <col min="6" max="6" width="15.75" style="6" bestFit="1" customWidth="1"/>
    <col min="7" max="9" width="16.625" style="6" bestFit="1" customWidth="1"/>
    <col min="10" max="10" width="14.625" style="6" bestFit="1" customWidth="1"/>
    <col min="11" max="11" width="16.75" style="6" bestFit="1" customWidth="1"/>
    <col min="12" max="12" width="15.625" style="6" bestFit="1" customWidth="1"/>
    <col min="13" max="14" width="14.625" style="6" bestFit="1" customWidth="1"/>
    <col min="15" max="15" width="1.75" style="6" customWidth="1"/>
    <col min="16" max="16" width="28.5" style="6" bestFit="1" customWidth="1"/>
    <col min="17" max="17" width="10.75" style="6" customWidth="1"/>
    <col min="18" max="18" width="15.75" style="6" bestFit="1" customWidth="1"/>
    <col min="19" max="19" width="12.625" style="6" bestFit="1" customWidth="1"/>
    <col min="20" max="21" width="15" style="6" bestFit="1" customWidth="1"/>
    <col min="22" max="22" width="11.25" style="6" bestFit="1" customWidth="1"/>
    <col min="23" max="16384" width="8.75" style="6"/>
  </cols>
  <sheetData>
    <row r="2" spans="2:20">
      <c r="B2" s="14" t="s">
        <v>56</v>
      </c>
      <c r="C2" s="15" t="s">
        <v>42</v>
      </c>
      <c r="D2" s="15" t="s">
        <v>72</v>
      </c>
      <c r="E2" s="16" t="s">
        <v>26</v>
      </c>
      <c r="F2" s="16" t="s">
        <v>332</v>
      </c>
      <c r="G2" s="17" t="s">
        <v>300</v>
      </c>
      <c r="H2" s="17" t="s">
        <v>359</v>
      </c>
      <c r="I2" s="17" t="s">
        <v>398</v>
      </c>
      <c r="J2" s="17" t="s">
        <v>413</v>
      </c>
      <c r="K2" s="17" t="s">
        <v>419</v>
      </c>
      <c r="L2" s="17" t="s">
        <v>620</v>
      </c>
      <c r="M2" s="17" t="s">
        <v>312</v>
      </c>
      <c r="N2" s="17" t="s">
        <v>360</v>
      </c>
      <c r="P2" s="8" t="s">
        <v>112</v>
      </c>
      <c r="Q2" s="8"/>
      <c r="R2" s="8"/>
    </row>
    <row r="3" spans="2:20">
      <c r="B3" s="5"/>
      <c r="C3" s="2">
        <v>43999</v>
      </c>
      <c r="D3" s="172">
        <v>1214.5</v>
      </c>
      <c r="E3" s="5" t="s">
        <v>337</v>
      </c>
      <c r="F3" s="5"/>
      <c r="G3" s="5">
        <v>10238013681</v>
      </c>
      <c r="H3" s="5"/>
      <c r="I3" s="5"/>
      <c r="J3" s="5"/>
      <c r="K3" s="5"/>
      <c r="L3" s="5"/>
      <c r="M3" s="5"/>
      <c r="N3" s="5"/>
      <c r="P3" s="146" t="s">
        <v>114</v>
      </c>
      <c r="Q3" s="8" t="s">
        <v>300</v>
      </c>
      <c r="R3" s="105">
        <f>G71</f>
        <v>110030198647.67667</v>
      </c>
    </row>
    <row r="4" spans="2:20">
      <c r="B4" s="5" t="s">
        <v>0</v>
      </c>
      <c r="C4" s="2">
        <v>43999</v>
      </c>
      <c r="D4" s="172">
        <v>1214.5</v>
      </c>
      <c r="E4" s="5" t="s">
        <v>331</v>
      </c>
      <c r="F4" s="5"/>
      <c r="G4" s="5">
        <f>17219300000-M4</f>
        <v>16219300000</v>
      </c>
      <c r="H4" s="5"/>
      <c r="I4" s="5"/>
      <c r="J4" s="5"/>
      <c r="K4" s="5"/>
      <c r="L4" s="5"/>
      <c r="M4" s="5">
        <v>1000000000</v>
      </c>
      <c r="N4" s="5"/>
      <c r="O4" s="7"/>
      <c r="S4" s="27"/>
      <c r="T4" s="7">
        <f>G71</f>
        <v>110030198647.67667</v>
      </c>
    </row>
    <row r="5" spans="2:20">
      <c r="B5" s="5" t="s">
        <v>330</v>
      </c>
      <c r="C5" s="2">
        <v>44078</v>
      </c>
      <c r="D5" s="172">
        <v>1174.7</v>
      </c>
      <c r="E5" s="145" t="s">
        <v>332</v>
      </c>
      <c r="F5" s="201">
        <f>F79*D5</f>
        <v>587350000</v>
      </c>
      <c r="G5" s="5"/>
      <c r="H5" s="5"/>
      <c r="I5" s="5"/>
      <c r="J5" s="5"/>
      <c r="K5" s="5"/>
      <c r="L5" s="5"/>
      <c r="M5" s="5"/>
      <c r="N5" s="5"/>
    </row>
    <row r="6" spans="2:20">
      <c r="B6" s="384" t="s">
        <v>343</v>
      </c>
      <c r="C6" s="343">
        <v>44131</v>
      </c>
      <c r="D6" s="386">
        <v>1134.5</v>
      </c>
      <c r="E6" s="5" t="s">
        <v>344</v>
      </c>
      <c r="F6" s="5"/>
      <c r="G6" s="5">
        <f>ROUND(G80*D6,-4)</f>
        <v>75748500000</v>
      </c>
      <c r="H6" s="5"/>
      <c r="I6" s="5"/>
      <c r="J6" s="5"/>
      <c r="K6" s="5"/>
      <c r="L6" s="5"/>
      <c r="M6" s="5"/>
      <c r="N6" s="5"/>
      <c r="O6" s="7"/>
    </row>
    <row r="7" spans="2:20">
      <c r="B7" s="385"/>
      <c r="C7" s="345"/>
      <c r="D7" s="387"/>
      <c r="E7" s="5" t="s">
        <v>345</v>
      </c>
      <c r="F7" s="5"/>
      <c r="G7" s="5">
        <v>956450914.24521613</v>
      </c>
      <c r="H7" s="5"/>
      <c r="I7" s="5"/>
      <c r="J7" s="5"/>
      <c r="K7" s="5"/>
      <c r="L7" s="5"/>
      <c r="M7" s="5"/>
      <c r="N7" s="5"/>
      <c r="O7" s="7"/>
    </row>
    <row r="8" spans="2:20">
      <c r="B8" s="384" t="s">
        <v>361</v>
      </c>
      <c r="C8" s="343">
        <v>44183</v>
      </c>
      <c r="D8" s="386">
        <v>1082.7</v>
      </c>
      <c r="E8" s="5" t="s">
        <v>359</v>
      </c>
      <c r="F8" s="5"/>
      <c r="G8" s="5"/>
      <c r="H8" s="5">
        <f>ROUND(H82*D8,-4)</f>
        <v>7850000000</v>
      </c>
      <c r="I8" s="5"/>
      <c r="J8" s="5"/>
      <c r="K8" s="5"/>
      <c r="L8" s="5"/>
      <c r="M8" s="5"/>
      <c r="N8" s="5">
        <f>ROUND(N82*D8,-4)</f>
        <v>700000000</v>
      </c>
      <c r="O8" s="7"/>
    </row>
    <row r="9" spans="2:20">
      <c r="B9" s="385"/>
      <c r="C9" s="345"/>
      <c r="D9" s="387"/>
      <c r="E9" s="5" t="s">
        <v>362</v>
      </c>
      <c r="F9" s="5"/>
      <c r="G9" s="5"/>
      <c r="H9" s="5">
        <f>ROUND(H83*D8,-4)</f>
        <v>548000000</v>
      </c>
      <c r="I9" s="5"/>
      <c r="J9" s="5"/>
      <c r="K9" s="5"/>
      <c r="L9" s="5"/>
      <c r="M9" s="5"/>
      <c r="N9" s="5"/>
      <c r="O9" s="7"/>
    </row>
    <row r="10" spans="2:20" ht="14.25" customHeight="1">
      <c r="B10" s="311" t="s">
        <v>366</v>
      </c>
      <c r="C10" s="343">
        <v>44230</v>
      </c>
      <c r="D10" s="378">
        <v>1085.08</v>
      </c>
      <c r="E10" s="5" t="s">
        <v>367</v>
      </c>
      <c r="F10" s="5"/>
      <c r="G10" s="5">
        <v>1735945487</v>
      </c>
      <c r="H10" s="5"/>
      <c r="I10" s="5"/>
      <c r="J10" s="5"/>
      <c r="K10" s="5"/>
      <c r="L10" s="5"/>
      <c r="M10" s="5"/>
      <c r="N10" s="5"/>
      <c r="O10" s="7"/>
    </row>
    <row r="11" spans="2:20">
      <c r="B11" s="313"/>
      <c r="C11" s="345"/>
      <c r="D11" s="380"/>
      <c r="E11" s="5" t="s">
        <v>369</v>
      </c>
      <c r="F11" s="5"/>
      <c r="G11" s="5">
        <v>1585352747.2527471</v>
      </c>
      <c r="H11" s="5">
        <v>2726373.6263736263</v>
      </c>
      <c r="I11" s="5"/>
      <c r="J11" s="5"/>
      <c r="K11" s="5"/>
      <c r="L11" s="5"/>
      <c r="M11" s="5"/>
      <c r="N11" s="5">
        <v>200000000</v>
      </c>
      <c r="O11" s="7"/>
    </row>
    <row r="12" spans="2:20">
      <c r="B12" s="311" t="s">
        <v>386</v>
      </c>
      <c r="C12" s="343">
        <v>44405</v>
      </c>
      <c r="D12" s="378">
        <v>1130</v>
      </c>
      <c r="E12" s="5" t="s">
        <v>387</v>
      </c>
      <c r="F12" s="5"/>
      <c r="G12" s="5"/>
      <c r="H12" s="5">
        <f>ROUNDDOWN(H87*D12,-3)</f>
        <v>78660000000</v>
      </c>
      <c r="I12" s="5"/>
      <c r="J12" s="5"/>
      <c r="K12" s="5"/>
      <c r="L12" s="5"/>
      <c r="M12" s="5"/>
      <c r="N12" s="5"/>
      <c r="O12" s="7"/>
    </row>
    <row r="13" spans="2:20">
      <c r="B13" s="313"/>
      <c r="C13" s="345"/>
      <c r="D13" s="380"/>
      <c r="E13" s="5" t="s">
        <v>388</v>
      </c>
      <c r="F13" s="5"/>
      <c r="G13" s="5"/>
      <c r="H13" s="5">
        <v>661234090.90909088</v>
      </c>
      <c r="I13" s="5"/>
      <c r="J13" s="5"/>
      <c r="K13" s="5"/>
      <c r="L13" s="5"/>
      <c r="M13" s="5"/>
      <c r="N13" s="5"/>
      <c r="O13" s="7"/>
    </row>
    <row r="14" spans="2:20">
      <c r="B14" s="34" t="s">
        <v>399</v>
      </c>
      <c r="C14" s="32">
        <v>44475</v>
      </c>
      <c r="D14" s="248">
        <v>1163.8</v>
      </c>
      <c r="E14" s="5" t="s">
        <v>400</v>
      </c>
      <c r="F14" s="5"/>
      <c r="G14" s="5"/>
      <c r="H14" s="5"/>
      <c r="I14" s="5">
        <f>ROUND(I89*D14,-5)</f>
        <v>87122000000</v>
      </c>
      <c r="J14" s="5"/>
      <c r="K14" s="5"/>
      <c r="L14" s="5"/>
      <c r="M14" s="5"/>
      <c r="N14" s="5">
        <v>500000000</v>
      </c>
      <c r="O14" s="7"/>
    </row>
    <row r="15" spans="2:20">
      <c r="B15" s="337" t="s">
        <v>407</v>
      </c>
      <c r="C15" s="334">
        <v>44546</v>
      </c>
      <c r="D15" s="381">
        <v>1175.5</v>
      </c>
      <c r="E15" s="145" t="s">
        <v>359</v>
      </c>
      <c r="F15" s="145"/>
      <c r="G15" s="145"/>
      <c r="H15" s="145">
        <f>ROUND(H90*D15,-3)</f>
        <v>24437150000</v>
      </c>
      <c r="I15" s="145"/>
      <c r="J15" s="145"/>
      <c r="K15" s="145"/>
      <c r="L15" s="145"/>
      <c r="M15" s="145"/>
      <c r="N15" s="145"/>
      <c r="O15" s="7"/>
    </row>
    <row r="16" spans="2:20">
      <c r="B16" s="338"/>
      <c r="C16" s="335"/>
      <c r="D16" s="383"/>
      <c r="E16" s="145" t="s">
        <v>406</v>
      </c>
      <c r="F16" s="145"/>
      <c r="G16" s="145">
        <v>2069028689.8395722</v>
      </c>
      <c r="H16" s="145">
        <v>1792081176.4705882</v>
      </c>
      <c r="I16" s="145"/>
      <c r="J16" s="145"/>
      <c r="K16" s="145"/>
      <c r="L16" s="145"/>
      <c r="M16" s="145"/>
      <c r="N16" s="145"/>
      <c r="O16" s="7"/>
    </row>
    <row r="17" spans="2:15">
      <c r="B17" s="339"/>
      <c r="C17" s="336"/>
      <c r="D17" s="382"/>
      <c r="E17" s="145" t="s">
        <v>409</v>
      </c>
      <c r="F17" s="145">
        <f>F92*D15</f>
        <v>352650000</v>
      </c>
      <c r="G17" s="145"/>
      <c r="H17" s="145"/>
      <c r="I17" s="145"/>
      <c r="J17" s="145"/>
      <c r="K17" s="145"/>
      <c r="L17" s="145"/>
      <c r="M17" s="145"/>
      <c r="N17" s="145"/>
      <c r="O17" s="7"/>
    </row>
    <row r="18" spans="2:15">
      <c r="B18" s="337" t="s">
        <v>415</v>
      </c>
      <c r="C18" s="334">
        <v>44644</v>
      </c>
      <c r="D18" s="381">
        <v>1228.5</v>
      </c>
      <c r="E18" s="145" t="s">
        <v>413</v>
      </c>
      <c r="F18" s="145"/>
      <c r="G18" s="145">
        <f t="shared" ref="G18:I18" si="0">ROUND($D$18*G93,0)</f>
        <v>0</v>
      </c>
      <c r="H18" s="145">
        <f t="shared" si="0"/>
        <v>0</v>
      </c>
      <c r="I18" s="145">
        <f t="shared" si="0"/>
        <v>0</v>
      </c>
      <c r="J18" s="145">
        <f>ROUND($D$18*J93,-3)</f>
        <v>760000000</v>
      </c>
      <c r="K18" s="145"/>
      <c r="L18" s="145"/>
      <c r="M18" s="145"/>
      <c r="N18" s="145"/>
      <c r="O18" s="7"/>
    </row>
    <row r="19" spans="2:15">
      <c r="B19" s="338"/>
      <c r="C19" s="335"/>
      <c r="D19" s="383"/>
      <c r="E19" s="145" t="s">
        <v>414</v>
      </c>
      <c r="F19" s="145"/>
      <c r="G19" s="145">
        <v>759820238.09523809</v>
      </c>
      <c r="H19" s="145">
        <v>842286904.76190472</v>
      </c>
      <c r="I19" s="145">
        <f t="shared" ref="I19" si="1">ROUND($D$18*I94,0)</f>
        <v>1229778869</v>
      </c>
      <c r="J19" s="145"/>
      <c r="K19" s="145"/>
      <c r="L19" s="145"/>
      <c r="M19" s="145"/>
      <c r="N19" s="145"/>
      <c r="O19" s="7"/>
    </row>
    <row r="20" spans="2:15">
      <c r="B20" s="339"/>
      <c r="C20" s="336"/>
      <c r="D20" s="382"/>
      <c r="E20" s="145" t="s">
        <v>165</v>
      </c>
      <c r="F20" s="145"/>
      <c r="G20" s="145"/>
      <c r="H20" s="145">
        <f>ROUNDUP($D$18*H95,-3)</f>
        <v>157000000</v>
      </c>
      <c r="I20" s="145">
        <f>ROUND($D$18*I95,-3)</f>
        <v>392000000</v>
      </c>
      <c r="J20" s="145"/>
      <c r="K20" s="145"/>
      <c r="L20" s="145"/>
      <c r="M20" s="145"/>
      <c r="N20" s="145"/>
      <c r="O20" s="7"/>
    </row>
    <row r="21" spans="2:15">
      <c r="B21" s="388" t="s">
        <v>430</v>
      </c>
      <c r="C21" s="334">
        <v>44665</v>
      </c>
      <c r="D21" s="381">
        <v>1210.7</v>
      </c>
      <c r="E21" s="145" t="s">
        <v>429</v>
      </c>
      <c r="F21" s="145"/>
      <c r="G21" s="145"/>
      <c r="H21" s="145"/>
      <c r="I21" s="145"/>
      <c r="J21" s="145"/>
      <c r="K21" s="145">
        <f>ROUNDDOWN(K96*D21,-3)</f>
        <v>700000000</v>
      </c>
      <c r="L21" s="145"/>
      <c r="M21" s="145"/>
      <c r="N21" s="145"/>
      <c r="O21" s="7"/>
    </row>
    <row r="22" spans="2:15">
      <c r="B22" s="388"/>
      <c r="C22" s="336"/>
      <c r="D22" s="382"/>
      <c r="E22" s="145" t="s">
        <v>165</v>
      </c>
      <c r="F22" s="145"/>
      <c r="G22" s="145"/>
      <c r="H22" s="145"/>
      <c r="I22" s="145"/>
      <c r="J22" s="145">
        <f>ROUND(J97*D21,-3)</f>
        <v>392000000</v>
      </c>
      <c r="K22" s="145"/>
      <c r="L22" s="145"/>
      <c r="M22" s="145"/>
      <c r="N22" s="145"/>
      <c r="O22" s="7"/>
    </row>
    <row r="23" spans="2:15">
      <c r="B23" s="34" t="s">
        <v>427</v>
      </c>
      <c r="C23" s="32">
        <v>44711</v>
      </c>
      <c r="D23" s="248">
        <v>1181.5</v>
      </c>
      <c r="E23" s="5" t="s">
        <v>428</v>
      </c>
      <c r="F23" s="5"/>
      <c r="G23" s="5"/>
      <c r="H23" s="5"/>
      <c r="I23" s="5"/>
      <c r="J23" s="5"/>
      <c r="K23" s="5">
        <f>ROUND(K98*D23,-3)</f>
        <v>17500000000</v>
      </c>
      <c r="L23" s="5"/>
      <c r="M23" s="5"/>
      <c r="N23" s="5"/>
      <c r="O23" s="7"/>
    </row>
    <row r="24" spans="2:15">
      <c r="B24" s="311" t="s">
        <v>431</v>
      </c>
      <c r="C24" s="343">
        <v>44733</v>
      </c>
      <c r="D24" s="378">
        <v>1234.8</v>
      </c>
      <c r="E24" s="5" t="s">
        <v>432</v>
      </c>
      <c r="F24" s="5"/>
      <c r="G24" s="5">
        <v>759074390.24390244</v>
      </c>
      <c r="H24" s="5">
        <f>+ROUND(H99*D24,0)</f>
        <v>897013051</v>
      </c>
      <c r="I24" s="5">
        <f>ROUND(I99*$D$24,0)</f>
        <v>173005358</v>
      </c>
      <c r="J24" s="5"/>
      <c r="K24" s="5"/>
      <c r="L24" s="5"/>
      <c r="M24" s="5"/>
      <c r="N24" s="5"/>
      <c r="O24" s="7"/>
    </row>
    <row r="25" spans="2:15">
      <c r="B25" s="313"/>
      <c r="C25" s="345"/>
      <c r="D25" s="380"/>
      <c r="E25" s="5" t="s">
        <v>433</v>
      </c>
      <c r="F25" s="5"/>
      <c r="G25" s="237">
        <v>-41287500</v>
      </c>
      <c r="H25" s="5"/>
      <c r="I25" s="5"/>
      <c r="J25" s="5"/>
      <c r="K25" s="5"/>
      <c r="L25" s="5"/>
      <c r="M25" s="5"/>
      <c r="N25" s="5"/>
      <c r="O25" s="7"/>
    </row>
    <row r="26" spans="2:15">
      <c r="B26" s="311" t="s">
        <v>464</v>
      </c>
      <c r="C26" s="343">
        <v>45007</v>
      </c>
      <c r="D26" s="378">
        <v>1318.5</v>
      </c>
      <c r="E26" s="5" t="s">
        <v>465</v>
      </c>
      <c r="F26" s="5"/>
      <c r="G26" s="237"/>
      <c r="H26" s="5">
        <f>ROUND(2930297*1318.5,0)</f>
        <v>3863596595</v>
      </c>
      <c r="I26" s="5"/>
      <c r="J26" s="5"/>
      <c r="K26" s="5"/>
      <c r="L26" s="5"/>
      <c r="M26" s="5"/>
      <c r="N26" s="5"/>
      <c r="O26" s="7"/>
    </row>
    <row r="27" spans="2:15">
      <c r="B27" s="312"/>
      <c r="C27" s="344"/>
      <c r="D27" s="379"/>
      <c r="E27" s="5" t="s">
        <v>465</v>
      </c>
      <c r="F27" s="5"/>
      <c r="G27" s="237"/>
      <c r="H27" s="5"/>
      <c r="I27" s="5">
        <f>ROUND(415070*1318.5,0)</f>
        <v>547269795</v>
      </c>
      <c r="J27" s="5"/>
      <c r="K27" s="5"/>
      <c r="L27" s="5"/>
      <c r="M27" s="5"/>
      <c r="N27" s="5"/>
      <c r="O27" s="7"/>
    </row>
    <row r="28" spans="2:15">
      <c r="B28" s="312"/>
      <c r="C28" s="344"/>
      <c r="D28" s="379"/>
      <c r="E28" s="5" t="s">
        <v>465</v>
      </c>
      <c r="F28" s="5"/>
      <c r="G28" s="237"/>
      <c r="H28" s="5"/>
      <c r="I28" s="5"/>
      <c r="J28" s="5">
        <f>ROUND(4244*1318.5,0)</f>
        <v>5595714</v>
      </c>
      <c r="K28" s="5"/>
      <c r="L28" s="5"/>
      <c r="M28" s="5"/>
      <c r="N28" s="5"/>
      <c r="O28" s="7"/>
    </row>
    <row r="29" spans="2:15">
      <c r="B29" s="312"/>
      <c r="C29" s="344"/>
      <c r="D29" s="379"/>
      <c r="E29" s="5" t="s">
        <v>465</v>
      </c>
      <c r="F29" s="5"/>
      <c r="G29" s="237"/>
      <c r="H29" s="5"/>
      <c r="I29" s="5"/>
      <c r="J29" s="5"/>
      <c r="K29" s="5">
        <f>ROUND(94058*1318.5,0)</f>
        <v>124015473</v>
      </c>
      <c r="L29" s="5"/>
      <c r="M29" s="5"/>
      <c r="N29" s="5"/>
      <c r="O29" s="7"/>
    </row>
    <row r="30" spans="2:15">
      <c r="B30" s="313"/>
      <c r="C30" s="345"/>
      <c r="D30" s="380"/>
      <c r="E30" s="5" t="s">
        <v>468</v>
      </c>
      <c r="F30" s="5">
        <f>ROUND(49478*1318.5,0)</f>
        <v>65236743</v>
      </c>
      <c r="G30" s="237"/>
      <c r="H30" s="5"/>
      <c r="I30" s="5"/>
      <c r="J30" s="5"/>
      <c r="K30" s="5"/>
      <c r="L30" s="5"/>
      <c r="M30" s="5"/>
      <c r="N30" s="5"/>
      <c r="O30" s="7"/>
    </row>
    <row r="31" spans="2:15">
      <c r="B31" s="34" t="s">
        <v>470</v>
      </c>
      <c r="C31" s="32">
        <v>45042</v>
      </c>
      <c r="D31" s="248">
        <v>1310.3</v>
      </c>
      <c r="E31" s="5" t="s">
        <v>429</v>
      </c>
      <c r="F31" s="5"/>
      <c r="G31" s="237"/>
      <c r="H31" s="5"/>
      <c r="I31" s="5"/>
      <c r="J31" s="5"/>
      <c r="K31" s="5">
        <v>3000000000</v>
      </c>
      <c r="L31" s="5"/>
      <c r="M31" s="5"/>
      <c r="N31" s="5"/>
      <c r="O31" s="7"/>
    </row>
    <row r="32" spans="2:15">
      <c r="B32" s="34" t="s">
        <v>473</v>
      </c>
      <c r="C32" s="32">
        <v>45070</v>
      </c>
      <c r="D32" s="248">
        <v>1321</v>
      </c>
      <c r="E32" s="5" t="s">
        <v>400</v>
      </c>
      <c r="F32" s="5"/>
      <c r="G32" s="237"/>
      <c r="H32" s="5"/>
      <c r="I32" s="5">
        <v>1500000000</v>
      </c>
      <c r="J32" s="5"/>
      <c r="K32" s="5"/>
      <c r="L32" s="5"/>
      <c r="M32" s="5"/>
      <c r="N32" s="5"/>
      <c r="O32" s="7"/>
    </row>
    <row r="33" spans="2:15">
      <c r="B33" s="311" t="s">
        <v>474</v>
      </c>
      <c r="C33" s="343">
        <v>45097</v>
      </c>
      <c r="D33" s="378">
        <v>1306.5</v>
      </c>
      <c r="E33" s="5" t="s">
        <v>476</v>
      </c>
      <c r="F33" s="5"/>
      <c r="G33" s="237"/>
      <c r="H33" s="5">
        <f>ROUND(1032782*1306.5,0)</f>
        <v>1349329683</v>
      </c>
      <c r="I33" s="5"/>
      <c r="J33" s="5"/>
      <c r="K33" s="5"/>
      <c r="L33" s="5"/>
      <c r="M33" s="5"/>
      <c r="N33" s="5"/>
      <c r="O33" s="7"/>
    </row>
    <row r="34" spans="2:15">
      <c r="B34" s="312"/>
      <c r="C34" s="344"/>
      <c r="D34" s="379"/>
      <c r="E34" s="5" t="s">
        <v>476</v>
      </c>
      <c r="F34" s="5"/>
      <c r="G34" s="237"/>
      <c r="H34" s="5"/>
      <c r="I34" s="5">
        <f>ROUND(145520*1306.5,0)</f>
        <v>190121880</v>
      </c>
      <c r="J34" s="5"/>
      <c r="K34" s="5"/>
      <c r="L34" s="5"/>
      <c r="M34" s="5"/>
      <c r="N34" s="5"/>
      <c r="O34" s="7"/>
    </row>
    <row r="35" spans="2:15">
      <c r="B35" s="312"/>
      <c r="C35" s="344"/>
      <c r="D35" s="379"/>
      <c r="E35" s="5" t="s">
        <v>476</v>
      </c>
      <c r="F35" s="5"/>
      <c r="G35" s="237"/>
      <c r="H35" s="5"/>
      <c r="I35" s="5"/>
      <c r="J35" s="5">
        <f>ROUND(1528*1306,5)</f>
        <v>1995568</v>
      </c>
      <c r="K35" s="5"/>
      <c r="L35" s="5"/>
      <c r="M35" s="5"/>
      <c r="N35" s="5"/>
      <c r="O35" s="7"/>
    </row>
    <row r="36" spans="2:15">
      <c r="B36" s="313"/>
      <c r="C36" s="345"/>
      <c r="D36" s="380"/>
      <c r="E36" s="5" t="s">
        <v>476</v>
      </c>
      <c r="F36" s="5"/>
      <c r="G36" s="237"/>
      <c r="H36" s="5"/>
      <c r="I36" s="5"/>
      <c r="J36" s="5"/>
      <c r="K36" s="5">
        <f>ROUND(37601*1306.5,0)</f>
        <v>49125707</v>
      </c>
      <c r="L36" s="5"/>
      <c r="M36" s="5"/>
      <c r="N36" s="5"/>
      <c r="O36" s="7"/>
    </row>
    <row r="37" spans="2:15">
      <c r="B37" s="34" t="s">
        <v>484</v>
      </c>
      <c r="C37" s="32">
        <v>45131</v>
      </c>
      <c r="D37" s="248">
        <v>1298</v>
      </c>
      <c r="E37" s="5" t="s">
        <v>499</v>
      </c>
      <c r="F37" s="5"/>
      <c r="G37" s="237"/>
      <c r="H37" s="5"/>
      <c r="I37" s="5"/>
      <c r="J37" s="5"/>
      <c r="K37" s="5">
        <v>1500000000</v>
      </c>
      <c r="L37" s="5"/>
      <c r="M37" s="5"/>
      <c r="N37" s="5"/>
      <c r="O37" s="7"/>
    </row>
    <row r="38" spans="2:15">
      <c r="B38" s="311" t="s">
        <v>496</v>
      </c>
      <c r="C38" s="343">
        <v>45159</v>
      </c>
      <c r="D38" s="378">
        <v>1266</v>
      </c>
      <c r="E38" s="5" t="s">
        <v>498</v>
      </c>
      <c r="F38" s="5"/>
      <c r="G38" s="237"/>
      <c r="H38" s="5"/>
      <c r="I38" s="5"/>
      <c r="J38" s="5"/>
      <c r="K38" s="5">
        <v>6500000000</v>
      </c>
      <c r="L38" s="5"/>
      <c r="M38" s="5"/>
      <c r="N38" s="5"/>
      <c r="O38" s="7"/>
    </row>
    <row r="39" spans="2:15">
      <c r="B39" s="312"/>
      <c r="C39" s="344"/>
      <c r="D39" s="379"/>
      <c r="E39" s="5" t="s">
        <v>505</v>
      </c>
      <c r="F39" s="5"/>
      <c r="G39" s="237"/>
      <c r="H39" s="5"/>
      <c r="I39" s="5"/>
      <c r="J39" s="5"/>
      <c r="K39" s="5">
        <f>ROUND(53812*1266,0)</f>
        <v>68125992</v>
      </c>
      <c r="L39" s="5"/>
      <c r="M39" s="5"/>
      <c r="N39" s="5"/>
      <c r="O39" s="7"/>
    </row>
    <row r="40" spans="2:15">
      <c r="B40" s="312"/>
      <c r="C40" s="344"/>
      <c r="D40" s="379"/>
      <c r="E40" s="5" t="s">
        <v>501</v>
      </c>
      <c r="F40" s="5"/>
      <c r="G40" s="237"/>
      <c r="H40" s="5"/>
      <c r="I40" s="5">
        <v>500000000</v>
      </c>
      <c r="J40" s="5"/>
      <c r="K40" s="5"/>
      <c r="L40" s="5"/>
      <c r="M40" s="5"/>
      <c r="N40" s="5"/>
      <c r="O40" s="7"/>
    </row>
    <row r="41" spans="2:15">
      <c r="B41" s="312"/>
      <c r="C41" s="344"/>
      <c r="D41" s="379"/>
      <c r="E41" s="5" t="s">
        <v>503</v>
      </c>
      <c r="F41" s="5"/>
      <c r="G41" s="237"/>
      <c r="H41" s="5"/>
      <c r="I41" s="5">
        <f>+ROUND(783349*1266,0)</f>
        <v>991719834</v>
      </c>
      <c r="J41" s="5"/>
      <c r="K41" s="5"/>
      <c r="L41" s="5"/>
      <c r="M41" s="5"/>
      <c r="N41" s="5"/>
      <c r="O41" s="7"/>
    </row>
    <row r="42" spans="2:15">
      <c r="B42" s="313"/>
      <c r="C42" s="345"/>
      <c r="D42" s="380"/>
      <c r="E42" s="5" t="s">
        <v>507</v>
      </c>
      <c r="F42" s="5"/>
      <c r="G42" s="237"/>
      <c r="H42" s="5">
        <f>+ROUND(478451*1266,0)</f>
        <v>605718966</v>
      </c>
      <c r="I42" s="5"/>
      <c r="J42" s="5"/>
      <c r="K42" s="5"/>
      <c r="L42" s="5"/>
      <c r="M42" s="5"/>
      <c r="N42" s="5"/>
      <c r="O42" s="7"/>
    </row>
    <row r="43" spans="2:15">
      <c r="B43" s="34" t="s">
        <v>516</v>
      </c>
      <c r="C43" s="32">
        <v>45173</v>
      </c>
      <c r="D43" s="248">
        <v>1320.5</v>
      </c>
      <c r="E43" s="5" t="s">
        <v>518</v>
      </c>
      <c r="F43" s="5"/>
      <c r="G43" s="237"/>
      <c r="H43" s="5"/>
      <c r="I43" s="5">
        <f>200000000+300000000</f>
        <v>500000000</v>
      </c>
      <c r="J43" s="5"/>
      <c r="K43" s="5"/>
      <c r="L43" s="5"/>
      <c r="M43" s="5"/>
      <c r="N43" s="5"/>
      <c r="O43" s="7"/>
    </row>
    <row r="44" spans="2:15">
      <c r="B44" s="34" t="s">
        <v>525</v>
      </c>
      <c r="C44" s="32">
        <v>45208</v>
      </c>
      <c r="D44" s="248">
        <v>1362</v>
      </c>
      <c r="E44" s="5" t="s">
        <v>527</v>
      </c>
      <c r="F44" s="5"/>
      <c r="G44" s="237"/>
      <c r="H44" s="5"/>
      <c r="I44" s="5"/>
      <c r="J44" s="5"/>
      <c r="K44" s="5">
        <v>500000000</v>
      </c>
      <c r="L44" s="5"/>
      <c r="M44" s="5"/>
      <c r="N44" s="5"/>
      <c r="O44" s="7"/>
    </row>
    <row r="45" spans="2:15">
      <c r="B45" s="34" t="s">
        <v>529</v>
      </c>
      <c r="C45" s="32">
        <v>45233</v>
      </c>
      <c r="D45" s="248">
        <v>1362</v>
      </c>
      <c r="E45" s="5" t="s">
        <v>531</v>
      </c>
      <c r="F45" s="5"/>
      <c r="G45" s="237"/>
      <c r="H45" s="5"/>
      <c r="I45" s="5"/>
      <c r="J45" s="5"/>
      <c r="K45" s="5">
        <v>8500000000</v>
      </c>
      <c r="L45" s="5"/>
      <c r="M45" s="5"/>
      <c r="N45" s="5"/>
      <c r="O45" s="7"/>
    </row>
    <row r="46" spans="2:15">
      <c r="B46" s="34" t="s">
        <v>542</v>
      </c>
      <c r="C46" s="32">
        <v>45279</v>
      </c>
      <c r="D46" s="248">
        <v>1306</v>
      </c>
      <c r="E46" s="5" t="s">
        <v>544</v>
      </c>
      <c r="F46" s="5"/>
      <c r="G46" s="237"/>
      <c r="H46" s="5"/>
      <c r="I46" s="5">
        <f>820353*D46</f>
        <v>1071381018</v>
      </c>
      <c r="J46" s="5"/>
      <c r="K46" s="5"/>
      <c r="L46" s="5"/>
      <c r="M46" s="5"/>
      <c r="N46" s="5"/>
      <c r="O46" s="7"/>
    </row>
    <row r="47" spans="2:15">
      <c r="B47" s="34" t="s">
        <v>542</v>
      </c>
      <c r="C47" s="32">
        <v>45279</v>
      </c>
      <c r="D47" s="248">
        <v>1306</v>
      </c>
      <c r="E47" s="5" t="s">
        <v>543</v>
      </c>
      <c r="F47" s="5"/>
      <c r="G47" s="237"/>
      <c r="H47" s="5"/>
      <c r="I47" s="5"/>
      <c r="J47" s="5"/>
      <c r="K47" s="5">
        <f>135488*D47</f>
        <v>176947328</v>
      </c>
      <c r="L47" s="5"/>
      <c r="M47" s="5"/>
      <c r="N47" s="5"/>
      <c r="O47" s="7"/>
    </row>
    <row r="48" spans="2:15">
      <c r="B48" s="34" t="s">
        <v>546</v>
      </c>
      <c r="C48" s="32">
        <v>45322</v>
      </c>
      <c r="D48" s="248">
        <v>1315</v>
      </c>
      <c r="E48" s="5" t="s">
        <v>548</v>
      </c>
      <c r="F48" s="5"/>
      <c r="G48" s="237"/>
      <c r="H48" s="5"/>
      <c r="I48" s="5"/>
      <c r="J48" s="5"/>
      <c r="K48" s="5">
        <v>9500000000</v>
      </c>
      <c r="L48" s="5"/>
      <c r="M48" s="5"/>
      <c r="N48" s="5"/>
      <c r="O48" s="7"/>
    </row>
    <row r="49" spans="2:16">
      <c r="B49" s="34" t="s">
        <v>566</v>
      </c>
      <c r="C49" s="32">
        <v>45405</v>
      </c>
      <c r="D49" s="248">
        <v>1348</v>
      </c>
      <c r="E49" s="5" t="s">
        <v>568</v>
      </c>
      <c r="F49" s="5"/>
      <c r="G49" s="237"/>
      <c r="H49" s="5"/>
      <c r="I49" s="5"/>
      <c r="J49" s="5"/>
      <c r="K49" s="194">
        <v>6300000000</v>
      </c>
      <c r="L49" s="194"/>
      <c r="M49" s="5"/>
      <c r="N49" s="5"/>
      <c r="O49" s="7"/>
    </row>
    <row r="50" spans="2:16">
      <c r="B50" s="34" t="s">
        <v>566</v>
      </c>
      <c r="C50" s="32">
        <v>45405</v>
      </c>
      <c r="D50" s="248">
        <v>1348</v>
      </c>
      <c r="E50" s="5" t="s">
        <v>570</v>
      </c>
      <c r="F50" s="5"/>
      <c r="G50" s="237"/>
      <c r="H50" s="5"/>
      <c r="I50" s="194">
        <v>825500000</v>
      </c>
      <c r="J50" s="5"/>
      <c r="K50" s="5"/>
      <c r="L50" s="5"/>
      <c r="M50" s="5"/>
      <c r="N50" s="5"/>
      <c r="O50" s="7"/>
    </row>
    <row r="51" spans="2:16">
      <c r="B51" s="34" t="s">
        <v>566</v>
      </c>
      <c r="C51" s="32">
        <v>45405</v>
      </c>
      <c r="D51" s="248">
        <v>1348</v>
      </c>
      <c r="E51" s="5" t="s">
        <v>572</v>
      </c>
      <c r="F51" s="5"/>
      <c r="G51" s="237"/>
      <c r="H51" s="290">
        <f>ROUND(268215*D51,)</f>
        <v>361553820</v>
      </c>
      <c r="I51" s="290">
        <f>ROUND(455281*D51,)</f>
        <v>613718788</v>
      </c>
      <c r="J51" s="290"/>
      <c r="K51" s="290">
        <f>ROUND(160665*D51,)</f>
        <v>216576420</v>
      </c>
      <c r="L51" s="290"/>
      <c r="M51" s="5"/>
      <c r="N51" s="5"/>
    </row>
    <row r="52" spans="2:16">
      <c r="B52" s="266" t="s">
        <v>579</v>
      </c>
      <c r="C52" s="161">
        <v>45440</v>
      </c>
      <c r="D52" s="287">
        <v>1363.4</v>
      </c>
      <c r="E52" s="145" t="s">
        <v>530</v>
      </c>
      <c r="F52" s="145"/>
      <c r="G52" s="237"/>
      <c r="H52" s="145"/>
      <c r="I52" s="145"/>
      <c r="J52" s="145"/>
      <c r="K52" s="145">
        <v>6300000000</v>
      </c>
      <c r="L52" s="145"/>
      <c r="M52" s="145"/>
      <c r="N52" s="145"/>
    </row>
    <row r="53" spans="2:16">
      <c r="B53" s="266" t="s">
        <v>579</v>
      </c>
      <c r="C53" s="161">
        <v>45440</v>
      </c>
      <c r="D53" s="287">
        <v>1363.4</v>
      </c>
      <c r="E53" s="145" t="s">
        <v>581</v>
      </c>
      <c r="F53" s="145"/>
      <c r="G53" s="237"/>
      <c r="H53" s="145">
        <f>ROUND(227539*D53,-4)</f>
        <v>310230000</v>
      </c>
      <c r="I53" s="145">
        <f>ROUND(578772*D53,-4)</f>
        <v>789100000</v>
      </c>
      <c r="J53" s="145"/>
      <c r="K53" s="145">
        <f>ROUND(158638*D53,-4)-10000</f>
        <v>216280000</v>
      </c>
      <c r="L53" s="145"/>
      <c r="M53" s="145"/>
      <c r="N53" s="145"/>
    </row>
    <row r="54" spans="2:16">
      <c r="B54" s="266" t="s">
        <v>584</v>
      </c>
      <c r="C54" s="161">
        <v>45467</v>
      </c>
      <c r="D54" s="287">
        <v>1371.5</v>
      </c>
      <c r="E54" s="5" t="s">
        <v>582</v>
      </c>
      <c r="F54" s="145"/>
      <c r="G54" s="237"/>
      <c r="H54" s="145"/>
      <c r="I54" s="145">
        <v>2845000000</v>
      </c>
      <c r="J54" s="145"/>
      <c r="K54" s="145"/>
      <c r="L54" s="145"/>
      <c r="M54" s="145"/>
      <c r="N54" s="145"/>
    </row>
    <row r="55" spans="2:16">
      <c r="B55" s="266" t="s">
        <v>586</v>
      </c>
      <c r="C55" s="161">
        <v>45504</v>
      </c>
      <c r="D55" s="287">
        <v>1373.5</v>
      </c>
      <c r="E55" s="5" t="s">
        <v>587</v>
      </c>
      <c r="F55" s="145"/>
      <c r="G55" s="237"/>
      <c r="H55" s="145"/>
      <c r="I55" s="145"/>
      <c r="J55" s="145"/>
      <c r="K55" s="145">
        <v>4990000000</v>
      </c>
      <c r="L55" s="145"/>
      <c r="M55" s="145"/>
      <c r="N55" s="145"/>
    </row>
    <row r="56" spans="2:16">
      <c r="B56" s="266" t="s">
        <v>586</v>
      </c>
      <c r="C56" s="161">
        <v>45504</v>
      </c>
      <c r="D56" s="287">
        <v>1373.5</v>
      </c>
      <c r="E56" s="5" t="s">
        <v>589</v>
      </c>
      <c r="F56" s="145"/>
      <c r="G56" s="237"/>
      <c r="H56" s="145"/>
      <c r="I56" s="145">
        <v>466600000</v>
      </c>
      <c r="J56" s="145"/>
      <c r="K56" s="145">
        <v>266770000</v>
      </c>
      <c r="L56" s="145"/>
      <c r="M56" s="145"/>
      <c r="N56" s="145"/>
    </row>
    <row r="57" spans="2:16" s="299" customFormat="1">
      <c r="B57" s="295" t="s">
        <v>595</v>
      </c>
      <c r="C57" s="296">
        <v>45573</v>
      </c>
      <c r="D57" s="297">
        <v>1334</v>
      </c>
      <c r="E57" s="170" t="s">
        <v>531</v>
      </c>
      <c r="F57" s="170"/>
      <c r="G57" s="298"/>
      <c r="H57" s="170"/>
      <c r="I57" s="170"/>
      <c r="J57" s="170"/>
      <c r="K57" s="170">
        <v>3954000000</v>
      </c>
      <c r="L57" s="170"/>
      <c r="M57" s="170"/>
      <c r="N57" s="170"/>
    </row>
    <row r="58" spans="2:16" s="299" customFormat="1">
      <c r="B58" s="376" t="s">
        <v>602</v>
      </c>
      <c r="C58" s="296">
        <v>45637</v>
      </c>
      <c r="D58" s="297">
        <v>1397.5</v>
      </c>
      <c r="E58" s="170" t="s">
        <v>603</v>
      </c>
      <c r="F58" s="170"/>
      <c r="G58" s="298"/>
      <c r="H58" s="170"/>
      <c r="I58" s="170"/>
      <c r="J58" s="170"/>
      <c r="K58" s="170">
        <v>9339420000</v>
      </c>
      <c r="L58" s="170"/>
      <c r="M58" s="170"/>
      <c r="N58" s="170"/>
    </row>
    <row r="59" spans="2:16" s="299" customFormat="1">
      <c r="B59" s="377"/>
      <c r="C59" s="296">
        <v>45637</v>
      </c>
      <c r="D59" s="297">
        <v>1397.5</v>
      </c>
      <c r="E59" s="170" t="s">
        <v>604</v>
      </c>
      <c r="F59" s="170"/>
      <c r="G59" s="298"/>
      <c r="H59" s="170"/>
      <c r="I59" s="170">
        <v>463500000</v>
      </c>
      <c r="J59" s="170"/>
      <c r="K59" s="170"/>
      <c r="L59" s="170"/>
      <c r="M59" s="170"/>
      <c r="N59" s="170"/>
    </row>
    <row r="60" spans="2:16">
      <c r="B60" s="266" t="s">
        <v>617</v>
      </c>
      <c r="C60" s="161">
        <v>45743</v>
      </c>
      <c r="D60" s="287">
        <v>1459</v>
      </c>
      <c r="E60" s="5" t="s">
        <v>619</v>
      </c>
      <c r="F60" s="145"/>
      <c r="G60" s="237"/>
      <c r="H60" s="145"/>
      <c r="I60" s="145">
        <v>469120000</v>
      </c>
      <c r="J60" s="145"/>
      <c r="K60" s="145">
        <v>4280590000</v>
      </c>
      <c r="L60" s="145">
        <v>32214000000</v>
      </c>
      <c r="M60" s="145"/>
      <c r="N60" s="145"/>
    </row>
    <row r="61" spans="2:16">
      <c r="B61" s="266" t="s">
        <v>622</v>
      </c>
      <c r="C61" s="161">
        <v>45818</v>
      </c>
      <c r="D61" s="287">
        <v>1394.8</v>
      </c>
      <c r="E61" s="5" t="s">
        <v>619</v>
      </c>
      <c r="F61" s="145"/>
      <c r="G61" s="237"/>
      <c r="H61" s="145"/>
      <c r="I61" s="145">
        <v>444660000</v>
      </c>
      <c r="J61" s="145"/>
      <c r="K61" s="145">
        <v>5234930000</v>
      </c>
      <c r="L61" s="145">
        <v>5585880000</v>
      </c>
      <c r="M61" s="145"/>
      <c r="N61" s="145"/>
      <c r="P61" s="45"/>
    </row>
    <row r="62" spans="2:16">
      <c r="B62" s="266" t="s">
        <v>628</v>
      </c>
      <c r="C62" s="161">
        <v>45870</v>
      </c>
      <c r="D62" s="287">
        <v>1379.2</v>
      </c>
      <c r="E62" s="5" t="s">
        <v>619</v>
      </c>
      <c r="F62" s="145"/>
      <c r="G62" s="237"/>
      <c r="H62" s="145"/>
      <c r="I62" s="145">
        <v>455248572</v>
      </c>
      <c r="J62" s="145"/>
      <c r="K62" s="145">
        <v>7283840000</v>
      </c>
      <c r="L62" s="145">
        <v>1226841428</v>
      </c>
      <c r="M62" s="145"/>
      <c r="N62" s="145"/>
      <c r="P62" s="45"/>
    </row>
    <row r="63" spans="2:16">
      <c r="B63" s="266" t="s">
        <v>629</v>
      </c>
      <c r="C63" s="161">
        <v>45929</v>
      </c>
      <c r="D63" s="287">
        <v>1389.4</v>
      </c>
      <c r="E63" s="5" t="s">
        <v>428</v>
      </c>
      <c r="F63" s="145"/>
      <c r="G63" s="237"/>
      <c r="H63" s="145"/>
      <c r="I63" s="145"/>
      <c r="J63" s="145"/>
      <c r="K63" s="145">
        <v>5400000000</v>
      </c>
      <c r="L63" s="145"/>
      <c r="M63" s="145"/>
      <c r="N63" s="145"/>
      <c r="P63" s="45"/>
    </row>
    <row r="64" spans="2:16">
      <c r="B64" s="266" t="s">
        <v>632</v>
      </c>
      <c r="C64" s="161">
        <v>45947</v>
      </c>
      <c r="D64" s="287">
        <v>1394</v>
      </c>
      <c r="E64" s="5" t="s">
        <v>619</v>
      </c>
      <c r="F64" s="145"/>
      <c r="G64" s="237"/>
      <c r="H64" s="145"/>
      <c r="I64" s="145">
        <v>464204788</v>
      </c>
      <c r="J64" s="145"/>
      <c r="K64" s="145">
        <v>281958804</v>
      </c>
      <c r="L64" s="145">
        <v>4793054566</v>
      </c>
      <c r="M64" s="145"/>
      <c r="N64" s="145"/>
      <c r="P64" s="45">
        <v>4035640000</v>
      </c>
    </row>
    <row r="65" spans="2:18">
      <c r="B65" s="266" t="s">
        <v>633</v>
      </c>
      <c r="C65" s="161">
        <v>46006</v>
      </c>
      <c r="D65" s="287">
        <v>1450.18</v>
      </c>
      <c r="E65" s="5" t="s">
        <v>499</v>
      </c>
      <c r="F65" s="145"/>
      <c r="G65" s="237"/>
      <c r="H65" s="145"/>
      <c r="I65" s="145"/>
      <c r="J65" s="145"/>
      <c r="K65" s="145">
        <v>5500000000</v>
      </c>
      <c r="L65" s="145"/>
      <c r="M65" s="145"/>
      <c r="N65" s="145"/>
      <c r="P65" s="45">
        <f>545339*1394</f>
        <v>760202566</v>
      </c>
    </row>
    <row r="66" spans="2:18">
      <c r="B66" s="266" t="s">
        <v>637</v>
      </c>
      <c r="C66" s="161">
        <v>46043</v>
      </c>
      <c r="D66" s="287">
        <v>1442.17</v>
      </c>
      <c r="E66" s="5" t="s">
        <v>636</v>
      </c>
      <c r="F66" s="145"/>
      <c r="G66" s="237"/>
      <c r="H66" s="145"/>
      <c r="I66" s="145"/>
      <c r="J66" s="145"/>
      <c r="K66" s="145"/>
      <c r="L66" s="145">
        <v>3130000000</v>
      </c>
      <c r="M66" s="145"/>
      <c r="N66" s="145"/>
    </row>
    <row r="67" spans="2:18">
      <c r="B67" s="266" t="s">
        <v>638</v>
      </c>
      <c r="C67" s="161">
        <v>46052</v>
      </c>
      <c r="D67" s="287">
        <v>1466.22</v>
      </c>
      <c r="E67" s="5" t="s">
        <v>499</v>
      </c>
      <c r="F67" s="145"/>
      <c r="G67" s="237"/>
      <c r="H67" s="145"/>
      <c r="I67" s="145"/>
      <c r="J67" s="145"/>
      <c r="K67" s="145">
        <v>10100000000</v>
      </c>
      <c r="L67" s="145"/>
      <c r="M67" s="145"/>
      <c r="N67" s="145"/>
    </row>
    <row r="68" spans="2:18">
      <c r="B68" s="266" t="s">
        <v>640</v>
      </c>
      <c r="C68" s="161">
        <v>46077</v>
      </c>
      <c r="D68" s="287">
        <v>1459.2</v>
      </c>
      <c r="E68" s="5" t="s">
        <v>499</v>
      </c>
      <c r="F68" s="145"/>
      <c r="G68" s="237"/>
      <c r="H68" s="145"/>
      <c r="I68" s="145"/>
      <c r="J68" s="145"/>
      <c r="K68" s="145">
        <v>1900000000</v>
      </c>
      <c r="L68" s="145"/>
      <c r="M68" s="145"/>
      <c r="N68" s="145"/>
    </row>
    <row r="69" spans="2:18">
      <c r="B69" s="266" t="s">
        <v>641</v>
      </c>
      <c r="C69" s="161">
        <v>46105</v>
      </c>
      <c r="D69" s="287">
        <v>1427.5</v>
      </c>
      <c r="E69" s="5" t="s">
        <v>642</v>
      </c>
      <c r="F69" s="145"/>
      <c r="G69" s="237"/>
      <c r="H69" s="145"/>
      <c r="I69" s="145"/>
      <c r="J69" s="145"/>
      <c r="K69" s="145">
        <v>8931000000</v>
      </c>
      <c r="L69" s="145">
        <v>3370000000</v>
      </c>
      <c r="M69" s="145"/>
      <c r="N69" s="145"/>
    </row>
    <row r="70" spans="2:18">
      <c r="B70" s="266" t="s">
        <v>641</v>
      </c>
      <c r="C70" s="161">
        <v>46105</v>
      </c>
      <c r="D70" s="287">
        <v>1427.5</v>
      </c>
      <c r="E70" s="5" t="s">
        <v>643</v>
      </c>
      <c r="F70" s="145"/>
      <c r="G70" s="237"/>
      <c r="H70" s="145"/>
      <c r="I70" s="145"/>
      <c r="J70" s="145"/>
      <c r="K70" s="145">
        <v>1874480000</v>
      </c>
      <c r="L70" s="145"/>
      <c r="M70" s="145"/>
      <c r="N70" s="145"/>
    </row>
    <row r="71" spans="2:18">
      <c r="B71" s="22" t="s">
        <v>27</v>
      </c>
      <c r="C71" s="22"/>
      <c r="D71" s="22" t="s">
        <v>333</v>
      </c>
      <c r="E71" s="236">
        <f>SUM(F71:N71)</f>
        <v>519794711953.44458</v>
      </c>
      <c r="F71" s="23">
        <f>SUM(F3:F70)</f>
        <v>1005236743</v>
      </c>
      <c r="G71" s="23">
        <f t="shared" ref="G71:N71" si="2">SUM(G3:G70)</f>
        <v>110030198647.67667</v>
      </c>
      <c r="H71" s="23">
        <f t="shared" si="2"/>
        <v>122337920660.76794</v>
      </c>
      <c r="I71" s="23">
        <f t="shared" si="2"/>
        <v>102053928902</v>
      </c>
      <c r="J71" s="23">
        <f t="shared" si="2"/>
        <v>1159591282</v>
      </c>
      <c r="K71" s="23">
        <f t="shared" si="2"/>
        <v>130488059724</v>
      </c>
      <c r="L71" s="23">
        <f t="shared" si="2"/>
        <v>50319775994</v>
      </c>
      <c r="M71" s="23">
        <f t="shared" si="2"/>
        <v>1000000000</v>
      </c>
      <c r="N71" s="23">
        <f t="shared" si="2"/>
        <v>1400000000</v>
      </c>
    </row>
    <row r="72" spans="2:18">
      <c r="G72" s="7"/>
      <c r="H72" s="7"/>
      <c r="I72" s="7">
        <v>106739122969.32948</v>
      </c>
      <c r="J72" s="7"/>
      <c r="K72" s="7">
        <f>SUM(K52:K53)</f>
        <v>6516280000</v>
      </c>
      <c r="L72" s="7"/>
      <c r="M72" s="7"/>
      <c r="N72" s="7"/>
    </row>
    <row r="73" spans="2:18">
      <c r="E73" s="7">
        <f>E71-F71-J71-M71-N71</f>
        <v>515229883928.44458</v>
      </c>
      <c r="F73" s="7">
        <f t="shared" ref="F73:K73" si="3">SUM(F3:F47)</f>
        <v>1005236743</v>
      </c>
      <c r="G73" s="7">
        <f t="shared" si="3"/>
        <v>110030198647.67667</v>
      </c>
      <c r="H73" s="7">
        <f t="shared" si="3"/>
        <v>121666136840.76794</v>
      </c>
      <c r="I73" s="7">
        <f t="shared" si="3"/>
        <v>94217276754</v>
      </c>
      <c r="J73" s="7">
        <f t="shared" si="3"/>
        <v>1159591282</v>
      </c>
      <c r="K73" s="7">
        <f t="shared" si="3"/>
        <v>38618214500</v>
      </c>
      <c r="L73" s="7"/>
      <c r="M73" s="7">
        <f>SUM(M3:M47)</f>
        <v>1000000000</v>
      </c>
      <c r="N73" s="7">
        <f>SUM(N3:N47)</f>
        <v>1400000000</v>
      </c>
    </row>
    <row r="74" spans="2:18">
      <c r="G74" s="7"/>
      <c r="H74" s="7"/>
      <c r="I74" s="7">
        <f>+I72-I71</f>
        <v>4685194067.329483</v>
      </c>
      <c r="J74" s="7"/>
      <c r="K74" s="7"/>
      <c r="L74" s="7"/>
      <c r="M74" s="7"/>
      <c r="N74" s="7"/>
    </row>
    <row r="75" spans="2:18">
      <c r="G75" s="27"/>
      <c r="H75" s="27"/>
      <c r="I75" s="27">
        <f>+I60*10%</f>
        <v>46912000</v>
      </c>
      <c r="J75" s="27"/>
      <c r="K75" s="27">
        <f>+K60*10%</f>
        <v>428059000</v>
      </c>
      <c r="L75" s="27">
        <f>+L60*10%</f>
        <v>3221400000</v>
      </c>
      <c r="P75" s="8" t="s">
        <v>112</v>
      </c>
      <c r="Q75" s="8"/>
      <c r="R75" s="8"/>
    </row>
    <row r="76" spans="2:18">
      <c r="B76" s="14" t="s">
        <v>55</v>
      </c>
      <c r="C76" s="15" t="s">
        <v>42</v>
      </c>
      <c r="D76" s="15" t="s">
        <v>28</v>
      </c>
      <c r="E76" s="16" t="s">
        <v>26</v>
      </c>
      <c r="F76" s="16" t="s">
        <v>332</v>
      </c>
      <c r="G76" s="17" t="str">
        <f>G2</f>
        <v>Geomdan</v>
      </c>
      <c r="H76" s="17" t="str">
        <f>H2</f>
        <v>Pyeongtaek BIX</v>
      </c>
      <c r="I76" s="17" t="str">
        <f>I2</f>
        <v xml:space="preserve">Haeundae </v>
      </c>
      <c r="J76" s="17" t="str">
        <f>J2</f>
        <v>East Icheon</v>
      </c>
      <c r="K76" s="17" t="str">
        <f>K2</f>
        <v>Busan New Port</v>
      </c>
      <c r="L76" s="17" t="s">
        <v>620</v>
      </c>
      <c r="M76" s="17" t="str">
        <f>M2</f>
        <v>Cheyenne</v>
      </c>
      <c r="N76" s="17" t="str">
        <f>N2</f>
        <v>Turtlerock</v>
      </c>
      <c r="P76" s="240"/>
      <c r="Q76" s="8"/>
      <c r="R76" s="8"/>
    </row>
    <row r="77" spans="2:18">
      <c r="B77" s="5"/>
      <c r="C77" s="2">
        <v>43999</v>
      </c>
      <c r="D77" s="172">
        <v>1214.5</v>
      </c>
      <c r="E77" s="5" t="s">
        <v>337</v>
      </c>
      <c r="F77" s="5"/>
      <c r="G77" s="194">
        <f>ROUND(G3/D77,0)</f>
        <v>8429818</v>
      </c>
      <c r="H77" s="5"/>
      <c r="I77" s="5"/>
      <c r="J77" s="5"/>
      <c r="K77" s="5"/>
      <c r="L77" s="5"/>
      <c r="M77" s="5"/>
      <c r="N77" s="5"/>
      <c r="P77" s="146" t="s">
        <v>114</v>
      </c>
      <c r="Q77" s="8" t="s">
        <v>300</v>
      </c>
      <c r="R77" s="43">
        <f>G146</f>
        <v>95460532</v>
      </c>
    </row>
    <row r="78" spans="2:18">
      <c r="B78" s="5" t="s">
        <v>0</v>
      </c>
      <c r="C78" s="2">
        <v>43999</v>
      </c>
      <c r="D78" s="172">
        <v>1214.5</v>
      </c>
      <c r="E78" s="5" t="s">
        <v>331</v>
      </c>
      <c r="F78" s="5"/>
      <c r="G78" s="194">
        <f>14178098-M78</f>
        <v>13354714</v>
      </c>
      <c r="H78" s="5"/>
      <c r="I78" s="5"/>
      <c r="J78" s="5"/>
      <c r="K78" s="5"/>
      <c r="L78" s="5"/>
      <c r="M78" s="5">
        <v>823384</v>
      </c>
      <c r="N78" s="5"/>
      <c r="P78" s="234"/>
      <c r="R78" s="235"/>
    </row>
    <row r="79" spans="2:18">
      <c r="B79" s="5" t="s">
        <v>330</v>
      </c>
      <c r="C79" s="2">
        <v>44078</v>
      </c>
      <c r="D79" s="172">
        <v>1174.7</v>
      </c>
      <c r="E79" s="145" t="s">
        <v>332</v>
      </c>
      <c r="F79" s="194">
        <v>500000</v>
      </c>
      <c r="G79" s="5"/>
      <c r="H79" s="5"/>
      <c r="I79" s="5"/>
      <c r="J79" s="5"/>
      <c r="K79" s="5"/>
      <c r="L79" s="5"/>
      <c r="M79" s="5"/>
      <c r="N79" s="5"/>
      <c r="P79" s="234"/>
      <c r="R79" s="235"/>
    </row>
    <row r="80" spans="2:18">
      <c r="B80" s="384" t="s">
        <v>343</v>
      </c>
      <c r="C80" s="343">
        <v>44131</v>
      </c>
      <c r="D80" s="386">
        <v>1134.5</v>
      </c>
      <c r="E80" s="5" t="s">
        <v>300</v>
      </c>
      <c r="F80" s="5"/>
      <c r="G80" s="194">
        <v>66768179</v>
      </c>
      <c r="H80" s="5"/>
      <c r="I80" s="5"/>
      <c r="J80" s="5"/>
      <c r="K80" s="5"/>
      <c r="L80" s="5"/>
      <c r="M80" s="5"/>
      <c r="N80" s="5"/>
      <c r="P80" s="234"/>
      <c r="R80" s="235"/>
    </row>
    <row r="81" spans="2:16">
      <c r="B81" s="385"/>
      <c r="C81" s="345"/>
      <c r="D81" s="387"/>
      <c r="E81" s="5" t="s">
        <v>345</v>
      </c>
      <c r="F81" s="5"/>
      <c r="G81" s="194">
        <v>841033</v>
      </c>
      <c r="H81" s="5"/>
      <c r="I81" s="5"/>
      <c r="J81" s="5"/>
      <c r="K81" s="5"/>
      <c r="L81" s="5"/>
      <c r="M81" s="5"/>
      <c r="N81" s="5"/>
      <c r="O81" s="7"/>
      <c r="P81" s="7"/>
    </row>
    <row r="82" spans="2:16" ht="14.25" customHeight="1">
      <c r="B82" s="384" t="s">
        <v>361</v>
      </c>
      <c r="C82" s="343">
        <v>44183</v>
      </c>
      <c r="D82" s="386">
        <v>1082.7</v>
      </c>
      <c r="E82" s="5" t="s">
        <v>359</v>
      </c>
      <c r="F82" s="5"/>
      <c r="G82" s="5"/>
      <c r="H82" s="194">
        <f>7896926-646532</f>
        <v>7250394</v>
      </c>
      <c r="I82" s="5"/>
      <c r="J82" s="5"/>
      <c r="K82" s="5"/>
      <c r="L82" s="5"/>
      <c r="M82" s="5"/>
      <c r="N82" s="5">
        <v>646532</v>
      </c>
      <c r="O82" s="7"/>
    </row>
    <row r="83" spans="2:16" ht="14.25" customHeight="1">
      <c r="B83" s="385"/>
      <c r="C83" s="345"/>
      <c r="D83" s="387"/>
      <c r="E83" s="5" t="s">
        <v>362</v>
      </c>
      <c r="F83" s="5"/>
      <c r="G83" s="5"/>
      <c r="H83" s="194">
        <v>506142</v>
      </c>
      <c r="I83" s="5"/>
      <c r="J83" s="5"/>
      <c r="K83" s="5"/>
      <c r="L83" s="5"/>
      <c r="M83" s="5"/>
      <c r="N83" s="5"/>
      <c r="O83" s="7"/>
    </row>
    <row r="84" spans="2:16">
      <c r="B84" s="311" t="s">
        <v>366</v>
      </c>
      <c r="C84" s="343">
        <v>44230</v>
      </c>
      <c r="D84" s="378">
        <v>1085.08</v>
      </c>
      <c r="E84" s="5" t="s">
        <v>367</v>
      </c>
      <c r="F84" s="5"/>
      <c r="G84" s="194">
        <v>1599832</v>
      </c>
      <c r="H84" s="5"/>
      <c r="I84" s="5"/>
      <c r="J84" s="5"/>
      <c r="K84" s="5"/>
      <c r="L84" s="5"/>
      <c r="M84" s="5"/>
      <c r="N84" s="5"/>
      <c r="O84" s="7"/>
    </row>
    <row r="85" spans="2:16">
      <c r="B85" s="313"/>
      <c r="C85" s="345"/>
      <c r="D85" s="380"/>
      <c r="E85" s="5" t="s">
        <v>368</v>
      </c>
      <c r="F85" s="5"/>
      <c r="G85" s="194">
        <v>1442671</v>
      </c>
      <c r="H85" s="194">
        <v>2481</v>
      </c>
      <c r="I85" s="5"/>
      <c r="J85" s="5"/>
      <c r="K85" s="5"/>
      <c r="L85" s="5"/>
      <c r="M85" s="5"/>
      <c r="N85" s="5"/>
      <c r="O85" s="7"/>
    </row>
    <row r="86" spans="2:16">
      <c r="B86" s="34"/>
      <c r="C86" s="32">
        <v>44293</v>
      </c>
      <c r="D86" s="248">
        <v>1122.5</v>
      </c>
      <c r="E86" s="5" t="s">
        <v>385</v>
      </c>
      <c r="F86" s="5"/>
      <c r="G86" s="5"/>
      <c r="H86" s="5"/>
      <c r="I86" s="5"/>
      <c r="J86" s="5"/>
      <c r="K86" s="5"/>
      <c r="L86" s="5"/>
      <c r="M86" s="5"/>
      <c r="N86" s="5">
        <v>178673.72</v>
      </c>
      <c r="O86" s="7"/>
    </row>
    <row r="87" spans="2:16">
      <c r="B87" s="311" t="s">
        <v>386</v>
      </c>
      <c r="C87" s="343">
        <v>44405</v>
      </c>
      <c r="D87" s="378">
        <v>1130</v>
      </c>
      <c r="E87" s="5" t="s">
        <v>387</v>
      </c>
      <c r="F87" s="5"/>
      <c r="G87" s="5"/>
      <c r="H87" s="194">
        <v>69610620</v>
      </c>
      <c r="I87" s="5"/>
      <c r="J87" s="5"/>
      <c r="K87" s="5"/>
      <c r="L87" s="5"/>
      <c r="M87" s="5"/>
      <c r="N87" s="5"/>
      <c r="O87" s="7"/>
    </row>
    <row r="88" spans="2:16">
      <c r="B88" s="313"/>
      <c r="C88" s="345"/>
      <c r="D88" s="380"/>
      <c r="E88" s="5" t="s">
        <v>388</v>
      </c>
      <c r="F88" s="5"/>
      <c r="G88" s="5"/>
      <c r="H88" s="194">
        <v>582977</v>
      </c>
      <c r="I88" s="5"/>
      <c r="J88" s="5"/>
      <c r="K88" s="5"/>
      <c r="L88" s="5"/>
      <c r="M88" s="5"/>
      <c r="N88" s="5"/>
      <c r="O88" s="7"/>
    </row>
    <row r="89" spans="2:16">
      <c r="B89" s="34" t="s">
        <v>399</v>
      </c>
      <c r="C89" s="32">
        <v>44475</v>
      </c>
      <c r="D89" s="248">
        <v>1163.8</v>
      </c>
      <c r="E89" s="5" t="s">
        <v>400</v>
      </c>
      <c r="F89" s="145"/>
      <c r="G89" s="145"/>
      <c r="H89" s="145"/>
      <c r="I89" s="194">
        <v>74859940</v>
      </c>
      <c r="J89" s="5"/>
      <c r="K89" s="5"/>
      <c r="L89" s="5"/>
      <c r="M89" s="5"/>
      <c r="N89" s="5">
        <v>421836.48</v>
      </c>
      <c r="O89" s="7"/>
    </row>
    <row r="90" spans="2:16">
      <c r="B90" s="337" t="s">
        <v>405</v>
      </c>
      <c r="C90" s="334">
        <v>44546</v>
      </c>
      <c r="D90" s="381">
        <v>1175.5</v>
      </c>
      <c r="E90" s="145" t="s">
        <v>359</v>
      </c>
      <c r="F90" s="145"/>
      <c r="G90" s="145"/>
      <c r="H90" s="194">
        <v>20788728</v>
      </c>
      <c r="I90" s="145"/>
      <c r="J90" s="145"/>
      <c r="K90" s="145"/>
      <c r="L90" s="145"/>
      <c r="M90" s="145"/>
      <c r="N90" s="145"/>
      <c r="O90" s="7"/>
    </row>
    <row r="91" spans="2:16">
      <c r="B91" s="338"/>
      <c r="C91" s="335"/>
      <c r="D91" s="383"/>
      <c r="E91" s="145" t="s">
        <v>406</v>
      </c>
      <c r="F91" s="145"/>
      <c r="G91" s="194">
        <v>1799928</v>
      </c>
      <c r="H91" s="194">
        <v>1523269</v>
      </c>
      <c r="I91" s="145"/>
      <c r="J91" s="145"/>
      <c r="K91" s="145"/>
      <c r="L91" s="145"/>
      <c r="M91" s="145"/>
      <c r="N91" s="145"/>
      <c r="O91" s="7"/>
    </row>
    <row r="92" spans="2:16">
      <c r="B92" s="339"/>
      <c r="C92" s="336"/>
      <c r="D92" s="382"/>
      <c r="E92" s="145" t="s">
        <v>408</v>
      </c>
      <c r="F92" s="194">
        <v>300000</v>
      </c>
      <c r="G92" s="145"/>
      <c r="H92" s="145"/>
      <c r="I92" s="145"/>
      <c r="J92" s="145"/>
      <c r="K92" s="145"/>
      <c r="L92" s="145"/>
      <c r="M92" s="145"/>
      <c r="N92" s="145"/>
      <c r="O92" s="7"/>
    </row>
    <row r="93" spans="2:16">
      <c r="B93" s="337" t="s">
        <v>415</v>
      </c>
      <c r="C93" s="334">
        <v>44644</v>
      </c>
      <c r="D93" s="381">
        <v>1228.5</v>
      </c>
      <c r="E93" s="145" t="s">
        <v>413</v>
      </c>
      <c r="F93" s="145"/>
      <c r="G93" s="145"/>
      <c r="H93" s="145"/>
      <c r="I93" s="145"/>
      <c r="J93" s="194">
        <v>618641</v>
      </c>
      <c r="K93" s="145"/>
      <c r="L93" s="145"/>
      <c r="M93" s="145"/>
      <c r="N93" s="145"/>
      <c r="O93" s="7"/>
    </row>
    <row r="94" spans="2:16">
      <c r="B94" s="338"/>
      <c r="C94" s="335"/>
      <c r="D94" s="383"/>
      <c r="E94" s="145" t="s">
        <v>414</v>
      </c>
      <c r="F94" s="145"/>
      <c r="G94" s="194">
        <v>638249</v>
      </c>
      <c r="H94" s="194">
        <v>707521</v>
      </c>
      <c r="I94" s="194">
        <v>1001041</v>
      </c>
      <c r="J94" s="145"/>
      <c r="K94" s="145"/>
      <c r="L94" s="145"/>
      <c r="M94" s="145"/>
      <c r="N94" s="145"/>
      <c r="O94" s="7"/>
    </row>
    <row r="95" spans="2:16">
      <c r="B95" s="339"/>
      <c r="C95" s="336"/>
      <c r="D95" s="382"/>
      <c r="E95" s="145" t="s">
        <v>165</v>
      </c>
      <c r="F95" s="145"/>
      <c r="G95" s="145"/>
      <c r="H95" s="194">
        <v>127798</v>
      </c>
      <c r="I95" s="194">
        <v>319088</v>
      </c>
      <c r="J95" s="145"/>
      <c r="K95" s="145"/>
      <c r="L95" s="145"/>
      <c r="M95" s="145"/>
      <c r="N95" s="145"/>
      <c r="O95" s="7"/>
    </row>
    <row r="96" spans="2:16">
      <c r="B96" s="337" t="s">
        <v>418</v>
      </c>
      <c r="C96" s="334">
        <v>44665</v>
      </c>
      <c r="D96" s="381">
        <v>1210.7</v>
      </c>
      <c r="E96" s="145" t="s">
        <v>428</v>
      </c>
      <c r="F96" s="145"/>
      <c r="G96" s="145"/>
      <c r="H96" s="145"/>
      <c r="I96" s="145"/>
      <c r="J96" s="145"/>
      <c r="K96" s="194">
        <v>578178</v>
      </c>
      <c r="L96" s="194"/>
      <c r="M96" s="145"/>
      <c r="N96" s="145"/>
      <c r="O96" s="7"/>
    </row>
    <row r="97" spans="2:18">
      <c r="B97" s="339"/>
      <c r="C97" s="336"/>
      <c r="D97" s="382"/>
      <c r="E97" s="145" t="s">
        <v>165</v>
      </c>
      <c r="F97" s="145"/>
      <c r="G97" s="145"/>
      <c r="H97" s="145"/>
      <c r="I97" s="145"/>
      <c r="J97" s="194">
        <v>323780</v>
      </c>
      <c r="K97" s="145"/>
      <c r="L97" s="145"/>
      <c r="M97" s="145"/>
      <c r="N97" s="145"/>
      <c r="O97" s="7"/>
    </row>
    <row r="98" spans="2:18">
      <c r="B98" s="34" t="s">
        <v>427</v>
      </c>
      <c r="C98" s="32">
        <v>44711</v>
      </c>
      <c r="D98" s="248">
        <v>1181.5</v>
      </c>
      <c r="E98" s="5" t="s">
        <v>428</v>
      </c>
      <c r="F98" s="5"/>
      <c r="G98" s="5"/>
      <c r="H98" s="5"/>
      <c r="I98" s="5"/>
      <c r="J98" s="5"/>
      <c r="K98" s="194">
        <v>14811680</v>
      </c>
      <c r="L98" s="194"/>
      <c r="M98" s="5"/>
      <c r="N98" s="5"/>
      <c r="O98" s="7"/>
    </row>
    <row r="99" spans="2:18">
      <c r="B99" s="311" t="s">
        <v>431</v>
      </c>
      <c r="C99" s="343">
        <v>44733</v>
      </c>
      <c r="D99" s="378">
        <v>1238.4000000000001</v>
      </c>
      <c r="E99" s="5" t="s">
        <v>432</v>
      </c>
      <c r="F99" s="5"/>
      <c r="G99" s="194">
        <v>622441</v>
      </c>
      <c r="H99" s="194">
        <v>726444</v>
      </c>
      <c r="I99" s="194">
        <v>140108</v>
      </c>
      <c r="J99" s="5"/>
      <c r="K99" s="5"/>
      <c r="L99" s="5"/>
      <c r="M99" s="5"/>
      <c r="N99" s="5"/>
      <c r="O99" s="7"/>
    </row>
    <row r="100" spans="2:18">
      <c r="B100" s="313"/>
      <c r="C100" s="345"/>
      <c r="D100" s="380"/>
      <c r="E100" s="5" t="s">
        <v>433</v>
      </c>
      <c r="F100" s="5"/>
      <c r="G100" s="231">
        <v>-36333</v>
      </c>
      <c r="H100" s="5"/>
      <c r="I100" s="5"/>
      <c r="J100" s="5"/>
      <c r="K100" s="5"/>
      <c r="L100" s="5"/>
      <c r="M100" s="5"/>
      <c r="N100" s="5"/>
      <c r="O100" s="7"/>
    </row>
    <row r="101" spans="2:18">
      <c r="B101" s="311" t="s">
        <v>463</v>
      </c>
      <c r="C101" s="343">
        <v>45007</v>
      </c>
      <c r="D101" s="378">
        <v>1318.5</v>
      </c>
      <c r="E101" s="5" t="s">
        <v>465</v>
      </c>
      <c r="F101" s="5"/>
      <c r="G101" s="237"/>
      <c r="H101" s="194">
        <v>2930297</v>
      </c>
      <c r="I101" s="5"/>
      <c r="J101" s="5"/>
      <c r="K101" s="5"/>
      <c r="L101" s="5"/>
      <c r="M101" s="5"/>
      <c r="N101" s="5"/>
      <c r="O101" s="7"/>
    </row>
    <row r="102" spans="2:18">
      <c r="B102" s="312"/>
      <c r="C102" s="344"/>
      <c r="D102" s="379"/>
      <c r="E102" s="5" t="s">
        <v>465</v>
      </c>
      <c r="F102" s="5"/>
      <c r="G102" s="237"/>
      <c r="H102" s="5"/>
      <c r="I102" s="194">
        <v>415070</v>
      </c>
      <c r="J102" s="5"/>
      <c r="K102" s="5"/>
      <c r="L102" s="5"/>
      <c r="M102" s="5"/>
      <c r="N102" s="5"/>
      <c r="O102" s="7"/>
    </row>
    <row r="103" spans="2:18">
      <c r="B103" s="312"/>
      <c r="C103" s="344"/>
      <c r="D103" s="379"/>
      <c r="E103" s="5" t="s">
        <v>465</v>
      </c>
      <c r="F103" s="5"/>
      <c r="G103" s="237"/>
      <c r="H103" s="5"/>
      <c r="I103" s="5"/>
      <c r="J103" s="194">
        <v>4244</v>
      </c>
      <c r="K103" s="5"/>
      <c r="L103" s="5"/>
      <c r="M103" s="5"/>
      <c r="N103" s="5"/>
      <c r="O103" s="7"/>
    </row>
    <row r="104" spans="2:18">
      <c r="B104" s="312"/>
      <c r="C104" s="344"/>
      <c r="D104" s="379"/>
      <c r="E104" s="5" t="s">
        <v>465</v>
      </c>
      <c r="F104" s="5"/>
      <c r="G104" s="237"/>
      <c r="H104" s="5"/>
      <c r="I104" s="5"/>
      <c r="J104" s="5"/>
      <c r="K104" s="194">
        <v>94058</v>
      </c>
      <c r="L104" s="194"/>
      <c r="M104" s="5"/>
      <c r="N104" s="5"/>
      <c r="O104" s="7"/>
    </row>
    <row r="105" spans="2:18">
      <c r="B105" s="313"/>
      <c r="C105" s="345"/>
      <c r="D105" s="380"/>
      <c r="E105" s="5" t="s">
        <v>468</v>
      </c>
      <c r="F105" s="194">
        <v>49478</v>
      </c>
      <c r="G105" s="237"/>
      <c r="H105" s="5"/>
      <c r="I105" s="5"/>
      <c r="J105" s="5"/>
      <c r="K105" s="5"/>
      <c r="L105" s="5"/>
      <c r="M105" s="5"/>
      <c r="N105" s="5"/>
      <c r="O105" s="7"/>
    </row>
    <row r="106" spans="2:18">
      <c r="B106" s="34" t="s">
        <v>472</v>
      </c>
      <c r="C106" s="32">
        <v>45042</v>
      </c>
      <c r="D106" s="248">
        <v>1310.3</v>
      </c>
      <c r="E106" s="5" t="s">
        <v>471</v>
      </c>
      <c r="F106" s="5"/>
      <c r="G106" s="237"/>
      <c r="H106" s="5"/>
      <c r="I106" s="5"/>
      <c r="J106" s="5"/>
      <c r="K106" s="194">
        <v>2289552</v>
      </c>
      <c r="L106" s="194"/>
      <c r="M106" s="5"/>
      <c r="N106" s="5"/>
      <c r="O106" s="7"/>
    </row>
    <row r="107" spans="2:18">
      <c r="B107" s="34" t="s">
        <v>473</v>
      </c>
      <c r="C107" s="32">
        <v>45070</v>
      </c>
      <c r="D107" s="248">
        <v>1321</v>
      </c>
      <c r="E107" s="5" t="s">
        <v>400</v>
      </c>
      <c r="F107" s="5"/>
      <c r="G107" s="237"/>
      <c r="H107" s="5"/>
      <c r="I107" s="194">
        <f>I32/D107</f>
        <v>1135503.4065102194</v>
      </c>
      <c r="J107" s="5"/>
      <c r="K107" s="5"/>
      <c r="L107" s="5"/>
      <c r="M107" s="5"/>
      <c r="N107" s="5"/>
      <c r="O107" s="7"/>
    </row>
    <row r="108" spans="2:18">
      <c r="B108" s="311" t="s">
        <v>474</v>
      </c>
      <c r="C108" s="343">
        <v>45097</v>
      </c>
      <c r="D108" s="378">
        <v>1306.5</v>
      </c>
      <c r="E108" s="5" t="s">
        <v>475</v>
      </c>
      <c r="F108" s="5"/>
      <c r="G108" s="237"/>
      <c r="H108" s="194">
        <v>1032782</v>
      </c>
      <c r="I108" s="5"/>
      <c r="J108" s="5"/>
      <c r="K108" s="5"/>
      <c r="L108" s="5"/>
      <c r="M108" s="5"/>
      <c r="N108" s="5"/>
      <c r="O108" s="7"/>
    </row>
    <row r="109" spans="2:18">
      <c r="B109" s="312"/>
      <c r="C109" s="344"/>
      <c r="D109" s="379"/>
      <c r="E109" s="5" t="s">
        <v>475</v>
      </c>
      <c r="F109" s="5"/>
      <c r="G109" s="237"/>
      <c r="H109" s="5"/>
      <c r="I109" s="194">
        <v>145520</v>
      </c>
      <c r="J109" s="5"/>
      <c r="K109" s="5"/>
      <c r="L109" s="5"/>
      <c r="M109" s="5"/>
      <c r="N109" s="5"/>
      <c r="O109" s="7"/>
    </row>
    <row r="110" spans="2:18">
      <c r="B110" s="312"/>
      <c r="C110" s="344"/>
      <c r="D110" s="379"/>
      <c r="E110" s="5" t="s">
        <v>475</v>
      </c>
      <c r="F110" s="5"/>
      <c r="G110" s="237"/>
      <c r="H110" s="5"/>
      <c r="I110" s="5"/>
      <c r="J110" s="194">
        <v>1528</v>
      </c>
      <c r="K110" s="5"/>
      <c r="L110" s="5"/>
      <c r="M110" s="5"/>
      <c r="N110" s="5"/>
      <c r="O110" s="7"/>
    </row>
    <row r="111" spans="2:18">
      <c r="B111" s="313"/>
      <c r="C111" s="345"/>
      <c r="D111" s="380"/>
      <c r="E111" s="5" t="s">
        <v>475</v>
      </c>
      <c r="F111" s="5"/>
      <c r="G111" s="237"/>
      <c r="H111" s="5"/>
      <c r="I111" s="5"/>
      <c r="J111" s="5"/>
      <c r="K111" s="194">
        <v>37601</v>
      </c>
      <c r="L111" s="194"/>
      <c r="M111" s="5"/>
      <c r="N111" s="5"/>
      <c r="O111" s="7"/>
    </row>
    <row r="112" spans="2:18">
      <c r="B112" s="34" t="s">
        <v>483</v>
      </c>
      <c r="C112" s="32">
        <v>45131</v>
      </c>
      <c r="D112" s="248">
        <v>1298</v>
      </c>
      <c r="E112" s="5" t="s">
        <v>471</v>
      </c>
      <c r="F112" s="5"/>
      <c r="G112" s="237"/>
      <c r="H112" s="5"/>
      <c r="I112" s="5"/>
      <c r="J112" s="5"/>
      <c r="K112" s="194">
        <v>1155624</v>
      </c>
      <c r="L112" s="194"/>
      <c r="M112" s="5"/>
      <c r="N112" s="5"/>
      <c r="O112" s="7"/>
      <c r="P112" s="7">
        <f>SUM(F113:N117)</f>
        <v>6844838.1273575993</v>
      </c>
      <c r="Q112" s="6" t="s">
        <v>532</v>
      </c>
      <c r="R112" s="7">
        <f>P112+'Dev JV1_Capital call-Star'!AE345</f>
        <v>8819561.1273575984</v>
      </c>
    </row>
    <row r="113" spans="2:19">
      <c r="B113" s="311" t="s">
        <v>496</v>
      </c>
      <c r="C113" s="343">
        <v>45159</v>
      </c>
      <c r="D113" s="378">
        <v>1266</v>
      </c>
      <c r="E113" s="5" t="s">
        <v>497</v>
      </c>
      <c r="F113" s="5"/>
      <c r="G113" s="237"/>
      <c r="H113" s="5"/>
      <c r="I113" s="5"/>
      <c r="J113" s="5"/>
      <c r="K113" s="194">
        <v>5134281</v>
      </c>
      <c r="L113" s="194"/>
      <c r="M113" s="5"/>
      <c r="N113" s="5"/>
      <c r="O113" s="7"/>
    </row>
    <row r="114" spans="2:19">
      <c r="B114" s="312"/>
      <c r="C114" s="344"/>
      <c r="D114" s="379"/>
      <c r="E114" s="5" t="s">
        <v>504</v>
      </c>
      <c r="F114" s="5"/>
      <c r="G114" s="237"/>
      <c r="H114" s="5"/>
      <c r="I114" s="5"/>
      <c r="J114" s="5"/>
      <c r="K114" s="194">
        <v>53812</v>
      </c>
      <c r="L114" s="194"/>
      <c r="M114" s="5"/>
      <c r="N114" s="5"/>
      <c r="O114" s="7"/>
    </row>
    <row r="115" spans="2:19">
      <c r="B115" s="312"/>
      <c r="C115" s="344"/>
      <c r="D115" s="379"/>
      <c r="E115" s="5" t="s">
        <v>500</v>
      </c>
      <c r="F115" s="5"/>
      <c r="G115" s="237"/>
      <c r="H115" s="5"/>
      <c r="I115" s="194">
        <v>394945</v>
      </c>
      <c r="J115" s="5"/>
      <c r="K115" s="5"/>
      <c r="L115" s="5"/>
      <c r="M115" s="5"/>
      <c r="N115" s="5"/>
      <c r="O115" s="7"/>
    </row>
    <row r="116" spans="2:19">
      <c r="B116" s="312"/>
      <c r="C116" s="344"/>
      <c r="D116" s="379"/>
      <c r="E116" s="5" t="s">
        <v>502</v>
      </c>
      <c r="F116" s="5"/>
      <c r="G116" s="237"/>
      <c r="H116" s="5"/>
      <c r="I116" s="194">
        <v>783349</v>
      </c>
      <c r="J116" s="5"/>
      <c r="K116" s="5"/>
      <c r="L116" s="5"/>
      <c r="M116" s="5"/>
      <c r="N116" s="5"/>
      <c r="O116" s="7"/>
    </row>
    <row r="117" spans="2:19">
      <c r="B117" s="313"/>
      <c r="C117" s="345"/>
      <c r="D117" s="380"/>
      <c r="E117" s="5" t="s">
        <v>506</v>
      </c>
      <c r="F117" s="5"/>
      <c r="G117" s="237"/>
      <c r="H117" s="194">
        <v>478451.12735759944</v>
      </c>
      <c r="I117" s="5"/>
      <c r="J117" s="5"/>
      <c r="K117" s="5"/>
      <c r="L117" s="5"/>
      <c r="M117" s="5"/>
      <c r="N117" s="5"/>
      <c r="O117" s="7"/>
      <c r="P117" s="7">
        <f>SUM(F118:N118)</f>
        <v>378645</v>
      </c>
      <c r="Q117" s="6" t="s">
        <v>533</v>
      </c>
    </row>
    <row r="118" spans="2:19">
      <c r="B118" s="34" t="s">
        <v>516</v>
      </c>
      <c r="C118" s="32">
        <v>45173</v>
      </c>
      <c r="D118" s="248">
        <v>1320.5</v>
      </c>
      <c r="E118" s="5" t="s">
        <v>517</v>
      </c>
      <c r="F118" s="5"/>
      <c r="G118" s="237"/>
      <c r="H118" s="5"/>
      <c r="I118" s="194">
        <f>151458+227187</f>
        <v>378645</v>
      </c>
      <c r="J118" s="5"/>
      <c r="K118" s="5"/>
      <c r="L118" s="5"/>
      <c r="M118" s="5"/>
      <c r="N118" s="5"/>
      <c r="O118" s="7"/>
      <c r="P118" s="7">
        <f>SUM(F119:N120)</f>
        <v>6626313</v>
      </c>
      <c r="Q118" s="6" t="s">
        <v>534</v>
      </c>
    </row>
    <row r="119" spans="2:19">
      <c r="B119" s="34" t="s">
        <v>524</v>
      </c>
      <c r="C119" s="32">
        <v>45208</v>
      </c>
      <c r="D119" s="248">
        <v>1362</v>
      </c>
      <c r="E119" s="5" t="s">
        <v>526</v>
      </c>
      <c r="F119" s="5"/>
      <c r="G119" s="237"/>
      <c r="H119" s="5"/>
      <c r="I119" s="5"/>
      <c r="J119" s="5"/>
      <c r="K119" s="194">
        <v>367107</v>
      </c>
      <c r="L119" s="194"/>
      <c r="M119" s="5"/>
      <c r="N119" s="5"/>
      <c r="O119" s="7"/>
    </row>
    <row r="120" spans="2:19">
      <c r="B120" s="34" t="s">
        <v>528</v>
      </c>
      <c r="C120" s="32">
        <v>45233</v>
      </c>
      <c r="D120" s="248">
        <v>1362</v>
      </c>
      <c r="E120" s="5" t="s">
        <v>530</v>
      </c>
      <c r="F120" s="5"/>
      <c r="G120" s="237"/>
      <c r="H120" s="5"/>
      <c r="I120" s="5"/>
      <c r="J120" s="5"/>
      <c r="K120" s="194">
        <v>6259206</v>
      </c>
      <c r="L120" s="194"/>
      <c r="M120" s="5"/>
      <c r="N120" s="5"/>
      <c r="O120" s="7"/>
    </row>
    <row r="121" spans="2:19">
      <c r="B121" s="34" t="s">
        <v>542</v>
      </c>
      <c r="C121" s="32">
        <v>45279</v>
      </c>
      <c r="D121" s="248">
        <v>1306</v>
      </c>
      <c r="E121" s="5" t="s">
        <v>400</v>
      </c>
      <c r="F121" s="5"/>
      <c r="G121" s="237"/>
      <c r="H121" s="5"/>
      <c r="I121" s="194">
        <v>820353</v>
      </c>
      <c r="J121" s="5"/>
      <c r="K121" s="5"/>
      <c r="L121" s="5"/>
      <c r="M121" s="5"/>
      <c r="N121" s="5"/>
      <c r="O121" s="7"/>
      <c r="S121" s="6">
        <v>2024</v>
      </c>
    </row>
    <row r="122" spans="2:19">
      <c r="B122" s="34" t="s">
        <v>542</v>
      </c>
      <c r="C122" s="32">
        <v>45279</v>
      </c>
      <c r="D122" s="248">
        <v>1306</v>
      </c>
      <c r="E122" s="5" t="s">
        <v>419</v>
      </c>
      <c r="F122" s="5"/>
      <c r="G122" s="237"/>
      <c r="H122" s="5"/>
      <c r="I122" s="5"/>
      <c r="J122" s="5"/>
      <c r="K122" s="194">
        <v>135488</v>
      </c>
      <c r="L122" s="194"/>
      <c r="M122" s="5"/>
      <c r="N122" s="5"/>
      <c r="O122" s="7"/>
      <c r="R122" s="6" t="s">
        <v>301</v>
      </c>
      <c r="S122" s="45">
        <f>SUM(F123:K134)</f>
        <v>35200211</v>
      </c>
    </row>
    <row r="123" spans="2:19">
      <c r="B123" s="34" t="s">
        <v>545</v>
      </c>
      <c r="C123" s="32">
        <v>45322</v>
      </c>
      <c r="D123" s="248">
        <v>1315</v>
      </c>
      <c r="E123" s="5" t="s">
        <v>547</v>
      </c>
      <c r="F123" s="5"/>
      <c r="G123" s="237"/>
      <c r="H123" s="5"/>
      <c r="I123" s="5"/>
      <c r="J123" s="5"/>
      <c r="K123" s="194">
        <v>7224335</v>
      </c>
      <c r="L123" s="194"/>
      <c r="M123" s="5"/>
      <c r="N123" s="5"/>
      <c r="O123" s="7"/>
      <c r="R123" s="6" t="s">
        <v>606</v>
      </c>
      <c r="S123" s="45">
        <v>31029489.789161853</v>
      </c>
    </row>
    <row r="124" spans="2:19">
      <c r="B124" s="34" t="s">
        <v>565</v>
      </c>
      <c r="C124" s="32">
        <v>45405</v>
      </c>
      <c r="D124" s="248">
        <v>1348</v>
      </c>
      <c r="E124" s="5" t="s">
        <v>567</v>
      </c>
      <c r="F124" s="5"/>
      <c r="G124" s="237"/>
      <c r="H124" s="5"/>
      <c r="I124" s="5"/>
      <c r="J124" s="5"/>
      <c r="K124" s="5">
        <v>4673591</v>
      </c>
      <c r="L124" s="5"/>
      <c r="M124" s="5"/>
      <c r="N124" s="5"/>
      <c r="O124" s="7"/>
      <c r="R124" s="6" t="s">
        <v>607</v>
      </c>
      <c r="S124" s="45">
        <v>18981926</v>
      </c>
    </row>
    <row r="125" spans="2:19">
      <c r="B125" s="34" t="s">
        <v>565</v>
      </c>
      <c r="C125" s="32">
        <v>45405</v>
      </c>
      <c r="D125" s="248">
        <v>1348</v>
      </c>
      <c r="E125" s="5" t="s">
        <v>569</v>
      </c>
      <c r="F125" s="5"/>
      <c r="G125" s="237"/>
      <c r="H125" s="5"/>
      <c r="I125" s="5">
        <v>612388</v>
      </c>
      <c r="J125" s="5"/>
      <c r="K125" s="5"/>
      <c r="L125" s="5"/>
      <c r="M125" s="5"/>
      <c r="N125" s="5"/>
      <c r="O125" s="7"/>
    </row>
    <row r="126" spans="2:19">
      <c r="B126" s="34" t="s">
        <v>565</v>
      </c>
      <c r="C126" s="32">
        <v>45405</v>
      </c>
      <c r="D126" s="248">
        <v>1348</v>
      </c>
      <c r="E126" s="5" t="s">
        <v>571</v>
      </c>
      <c r="F126" s="5"/>
      <c r="G126" s="237"/>
      <c r="H126" s="5">
        <v>268215</v>
      </c>
      <c r="I126" s="5">
        <v>455281</v>
      </c>
      <c r="J126" s="5"/>
      <c r="K126" s="5">
        <v>160665</v>
      </c>
      <c r="L126" s="5"/>
      <c r="M126" s="5"/>
      <c r="N126" s="5"/>
      <c r="O126" s="7"/>
      <c r="S126" s="45">
        <f>+SUM(S122:S124)</f>
        <v>85211626.789161861</v>
      </c>
    </row>
    <row r="127" spans="2:19">
      <c r="B127" s="34" t="s">
        <v>579</v>
      </c>
      <c r="C127" s="32">
        <v>45440</v>
      </c>
      <c r="D127" s="248">
        <v>1363.4</v>
      </c>
      <c r="E127" s="5" t="s">
        <v>530</v>
      </c>
      <c r="F127" s="5"/>
      <c r="G127" s="237"/>
      <c r="H127" s="5"/>
      <c r="I127" s="5"/>
      <c r="J127" s="5"/>
      <c r="K127" s="5">
        <v>4620801</v>
      </c>
      <c r="L127" s="5"/>
      <c r="M127" s="5"/>
      <c r="N127" s="5"/>
      <c r="O127" s="7"/>
    </row>
    <row r="128" spans="2:19">
      <c r="B128" s="34" t="s">
        <v>579</v>
      </c>
      <c r="C128" s="32">
        <v>45440</v>
      </c>
      <c r="D128" s="248">
        <v>1363.4</v>
      </c>
      <c r="E128" s="5" t="s">
        <v>580</v>
      </c>
      <c r="F128" s="5"/>
      <c r="G128" s="237"/>
      <c r="H128" s="5">
        <v>227539</v>
      </c>
      <c r="I128" s="5">
        <v>578772</v>
      </c>
      <c r="J128" s="5"/>
      <c r="K128" s="5">
        <v>158638</v>
      </c>
      <c r="L128" s="5"/>
      <c r="M128" s="5"/>
      <c r="N128" s="5"/>
      <c r="O128" s="7"/>
    </row>
    <row r="129" spans="2:16">
      <c r="B129" s="34" t="s">
        <v>583</v>
      </c>
      <c r="C129" s="32">
        <v>45467</v>
      </c>
      <c r="D129" s="248">
        <v>1371.5</v>
      </c>
      <c r="E129" s="5" t="s">
        <v>569</v>
      </c>
      <c r="F129" s="5"/>
      <c r="G129" s="237"/>
      <c r="H129" s="5"/>
      <c r="I129" s="5">
        <v>2074371</v>
      </c>
      <c r="J129" s="5"/>
      <c r="K129" s="5"/>
      <c r="L129" s="5"/>
      <c r="M129" s="5"/>
      <c r="N129" s="5"/>
      <c r="O129" s="7"/>
      <c r="P129" s="7">
        <f>+SUM(K130:K131)</f>
        <v>3827276</v>
      </c>
    </row>
    <row r="130" spans="2:16">
      <c r="B130" s="34" t="s">
        <v>585</v>
      </c>
      <c r="C130" s="32">
        <v>45504</v>
      </c>
      <c r="D130" s="248">
        <v>1373.5</v>
      </c>
      <c r="E130" s="5" t="s">
        <v>567</v>
      </c>
      <c r="F130" s="5"/>
      <c r="G130" s="237"/>
      <c r="H130" s="5"/>
      <c r="I130" s="5"/>
      <c r="J130" s="5"/>
      <c r="K130" s="5">
        <v>3633054</v>
      </c>
      <c r="L130" s="5"/>
      <c r="M130" s="5"/>
      <c r="N130" s="5"/>
      <c r="O130" s="7"/>
    </row>
    <row r="131" spans="2:16">
      <c r="B131" s="34" t="s">
        <v>585</v>
      </c>
      <c r="C131" s="32">
        <v>45504</v>
      </c>
      <c r="D131" s="248">
        <v>1373.5</v>
      </c>
      <c r="E131" s="5" t="s">
        <v>588</v>
      </c>
      <c r="F131" s="5"/>
      <c r="G131" s="237"/>
      <c r="H131" s="5"/>
      <c r="I131" s="5">
        <v>339714</v>
      </c>
      <c r="J131" s="5"/>
      <c r="K131" s="5">
        <v>194222</v>
      </c>
      <c r="L131" s="5"/>
      <c r="M131" s="5"/>
      <c r="N131" s="5"/>
      <c r="O131" s="7"/>
    </row>
    <row r="132" spans="2:16">
      <c r="B132" s="266" t="s">
        <v>595</v>
      </c>
      <c r="C132" s="161">
        <v>45573</v>
      </c>
      <c r="D132" s="287">
        <v>1334</v>
      </c>
      <c r="E132" s="5" t="s">
        <v>531</v>
      </c>
      <c r="F132" s="5"/>
      <c r="G132" s="237"/>
      <c r="H132" s="5"/>
      <c r="I132" s="5"/>
      <c r="J132" s="5"/>
      <c r="K132" s="5">
        <v>2964018</v>
      </c>
      <c r="L132" s="5"/>
      <c r="M132" s="5"/>
      <c r="N132" s="5"/>
      <c r="O132" s="7"/>
      <c r="P132" s="45">
        <f>+K133*10%</f>
        <v>668294.9</v>
      </c>
    </row>
    <row r="133" spans="2:16">
      <c r="B133" s="337" t="s">
        <v>601</v>
      </c>
      <c r="C133" s="334">
        <v>45637</v>
      </c>
      <c r="D133" s="287">
        <v>1397.5</v>
      </c>
      <c r="E133" s="5" t="s">
        <v>603</v>
      </c>
      <c r="F133" s="5"/>
      <c r="G133" s="237"/>
      <c r="H133" s="5"/>
      <c r="I133" s="5"/>
      <c r="J133" s="5"/>
      <c r="K133" s="5">
        <v>6682949</v>
      </c>
      <c r="L133" s="5"/>
      <c r="M133" s="5"/>
      <c r="N133" s="5"/>
      <c r="O133" s="7"/>
      <c r="P133" s="45">
        <f>+I134*10%</f>
        <v>33165.800000000003</v>
      </c>
    </row>
    <row r="134" spans="2:16">
      <c r="B134" s="339"/>
      <c r="C134" s="336"/>
      <c r="D134" s="287">
        <v>1397.5</v>
      </c>
      <c r="E134" s="5" t="s">
        <v>605</v>
      </c>
      <c r="F134" s="5"/>
      <c r="G134" s="237"/>
      <c r="H134" s="5"/>
      <c r="I134" s="5">
        <v>331658</v>
      </c>
      <c r="J134" s="5"/>
      <c r="K134" s="5"/>
      <c r="L134" s="5"/>
      <c r="M134" s="5"/>
      <c r="N134" s="5"/>
      <c r="O134" s="7"/>
      <c r="P134" s="45"/>
    </row>
    <row r="135" spans="2:16">
      <c r="B135" s="266" t="s">
        <v>616</v>
      </c>
      <c r="C135" s="161">
        <v>45743</v>
      </c>
      <c r="D135" s="287">
        <v>1459</v>
      </c>
      <c r="E135" s="5" t="s">
        <v>618</v>
      </c>
      <c r="F135" s="5"/>
      <c r="G135" s="237"/>
      <c r="H135" s="5"/>
      <c r="I135" s="5">
        <v>321534</v>
      </c>
      <c r="J135" s="5"/>
      <c r="K135" s="5">
        <v>2933916</v>
      </c>
      <c r="L135" s="5">
        <v>22079507</v>
      </c>
      <c r="M135" s="5"/>
      <c r="N135" s="5"/>
      <c r="O135" s="7"/>
      <c r="P135" s="45"/>
    </row>
    <row r="136" spans="2:16">
      <c r="B136" s="266" t="s">
        <v>621</v>
      </c>
      <c r="C136" s="161">
        <v>45818</v>
      </c>
      <c r="D136" s="287">
        <v>1394.8</v>
      </c>
      <c r="E136" s="5" t="s">
        <v>618</v>
      </c>
      <c r="F136" s="5"/>
      <c r="G136" s="237"/>
      <c r="H136" s="5"/>
      <c r="I136" s="5">
        <v>318794.37669069826</v>
      </c>
      <c r="J136" s="5"/>
      <c r="K136" s="5">
        <v>3753177</v>
      </c>
      <c r="L136" s="5">
        <v>4004793</v>
      </c>
      <c r="M136" s="5"/>
      <c r="N136" s="5"/>
      <c r="O136" s="7"/>
    </row>
    <row r="137" spans="2:16">
      <c r="B137" s="266" t="s">
        <v>628</v>
      </c>
      <c r="C137" s="32">
        <v>45870</v>
      </c>
      <c r="D137" s="248">
        <v>1379.2</v>
      </c>
      <c r="E137" s="5" t="s">
        <v>618</v>
      </c>
      <c r="F137" s="5"/>
      <c r="G137" s="237"/>
      <c r="H137" s="5"/>
      <c r="I137" s="5">
        <v>330094</v>
      </c>
      <c r="J137" s="5"/>
      <c r="K137" s="5">
        <v>5281209</v>
      </c>
      <c r="L137" s="5">
        <v>889526</v>
      </c>
      <c r="M137" s="5"/>
      <c r="N137" s="5"/>
      <c r="O137" s="7"/>
    </row>
    <row r="138" spans="2:16" ht="14.25" customHeight="1">
      <c r="B138" s="266" t="s">
        <v>629</v>
      </c>
      <c r="C138" s="161">
        <v>45929</v>
      </c>
      <c r="D138" s="287">
        <v>1389.4</v>
      </c>
      <c r="E138" s="5" t="s">
        <v>428</v>
      </c>
      <c r="F138" s="5"/>
      <c r="G138" s="237"/>
      <c r="H138" s="5"/>
      <c r="I138" s="5"/>
      <c r="J138" s="5"/>
      <c r="K138" s="5">
        <v>3886570</v>
      </c>
      <c r="L138" s="5"/>
      <c r="M138" s="5"/>
      <c r="N138" s="5"/>
    </row>
    <row r="139" spans="2:16" ht="14.25" customHeight="1">
      <c r="B139" s="266" t="s">
        <v>632</v>
      </c>
      <c r="C139" s="161">
        <v>45947</v>
      </c>
      <c r="D139" s="287">
        <v>1394</v>
      </c>
      <c r="E139" s="5" t="s">
        <v>619</v>
      </c>
      <c r="F139" s="5"/>
      <c r="G139" s="237"/>
      <c r="H139" s="5"/>
      <c r="I139" s="5">
        <v>333002</v>
      </c>
      <c r="J139" s="5"/>
      <c r="K139" s="5">
        <v>202266</v>
      </c>
      <c r="L139" s="5">
        <v>3438346</v>
      </c>
      <c r="M139" s="5"/>
      <c r="N139" s="5"/>
    </row>
    <row r="140" spans="2:16" ht="14.25" customHeight="1">
      <c r="B140" s="266" t="s">
        <v>633</v>
      </c>
      <c r="C140" s="161">
        <v>46006</v>
      </c>
      <c r="D140" s="287">
        <v>1450.18</v>
      </c>
      <c r="E140" s="5" t="s">
        <v>499</v>
      </c>
      <c r="F140" s="5"/>
      <c r="G140" s="237"/>
      <c r="H140" s="5"/>
      <c r="I140" s="5"/>
      <c r="J140" s="5"/>
      <c r="K140" s="5">
        <v>3792633</v>
      </c>
      <c r="L140" s="5"/>
      <c r="M140" s="5"/>
      <c r="N140" s="5"/>
    </row>
    <row r="141" spans="2:16" ht="14.25" customHeight="1">
      <c r="B141" s="266" t="s">
        <v>637</v>
      </c>
      <c r="C141" s="161">
        <v>46043</v>
      </c>
      <c r="D141" s="287">
        <v>1442.17</v>
      </c>
      <c r="E141" s="5" t="s">
        <v>636</v>
      </c>
      <c r="F141" s="5"/>
      <c r="G141" s="237"/>
      <c r="H141" s="5"/>
      <c r="I141" s="5"/>
      <c r="J141" s="5"/>
      <c r="K141" s="5"/>
      <c r="L141" s="5">
        <v>2170340</v>
      </c>
      <c r="M141" s="5"/>
      <c r="N141" s="5"/>
    </row>
    <row r="142" spans="2:16" ht="14.25" customHeight="1">
      <c r="B142" s="266" t="s">
        <v>638</v>
      </c>
      <c r="C142" s="161">
        <v>45687</v>
      </c>
      <c r="D142" s="287">
        <v>1466.22</v>
      </c>
      <c r="E142" s="5" t="s">
        <v>499</v>
      </c>
      <c r="F142" s="5"/>
      <c r="G142" s="237"/>
      <c r="H142" s="5"/>
      <c r="I142" s="5"/>
      <c r="J142" s="5"/>
      <c r="K142" s="5">
        <v>6888461</v>
      </c>
      <c r="L142" s="5"/>
      <c r="M142" s="5"/>
      <c r="N142" s="5"/>
    </row>
    <row r="143" spans="2:16" ht="14.25" customHeight="1">
      <c r="B143" s="266" t="s">
        <v>640</v>
      </c>
      <c r="C143" s="161">
        <v>45712</v>
      </c>
      <c r="D143" s="287">
        <v>1459.2</v>
      </c>
      <c r="E143" s="5" t="s">
        <v>499</v>
      </c>
      <c r="F143" s="5"/>
      <c r="G143" s="237"/>
      <c r="H143" s="5"/>
      <c r="I143" s="5"/>
      <c r="J143" s="5"/>
      <c r="K143" s="5">
        <v>1302083</v>
      </c>
      <c r="L143" s="5"/>
      <c r="M143" s="5"/>
      <c r="N143" s="5"/>
    </row>
    <row r="144" spans="2:16" ht="14.25" customHeight="1">
      <c r="B144" s="266" t="s">
        <v>641</v>
      </c>
      <c r="C144" s="161">
        <v>45740</v>
      </c>
      <c r="D144" s="287">
        <v>1427.5</v>
      </c>
      <c r="E144" s="5" t="s">
        <v>642</v>
      </c>
      <c r="F144" s="5"/>
      <c r="G144" s="237"/>
      <c r="H144" s="5"/>
      <c r="I144" s="5"/>
      <c r="J144" s="5"/>
      <c r="K144" s="5">
        <v>8617162</v>
      </c>
      <c r="L144" s="5"/>
      <c r="M144" s="5"/>
      <c r="N144" s="5"/>
    </row>
    <row r="145" spans="2:14" ht="14.25" customHeight="1">
      <c r="B145" s="266" t="s">
        <v>641</v>
      </c>
      <c r="C145" s="161">
        <v>45740</v>
      </c>
      <c r="D145" s="287">
        <v>1427.5</v>
      </c>
      <c r="E145" s="5" t="s">
        <v>643</v>
      </c>
      <c r="F145" s="5"/>
      <c r="G145" s="237"/>
      <c r="H145" s="5"/>
      <c r="I145" s="5"/>
      <c r="J145" s="5"/>
      <c r="K145" s="5">
        <v>1313118</v>
      </c>
      <c r="L145" s="5"/>
      <c r="M145" s="5"/>
      <c r="N145" s="5"/>
    </row>
    <row r="146" spans="2:14">
      <c r="B146" s="22" t="s">
        <v>27</v>
      </c>
      <c r="C146" s="22"/>
      <c r="D146" s="22" t="s">
        <v>50</v>
      </c>
      <c r="E146" s="23">
        <f>SUM(F146:N146)</f>
        <v>423963425.11055851</v>
      </c>
      <c r="F146" s="23">
        <f>SUM(F77:F145)</f>
        <v>849478</v>
      </c>
      <c r="G146" s="23">
        <f t="shared" ref="G146:N146" si="4">SUM(G77:G145)</f>
        <v>95460532</v>
      </c>
      <c r="H146" s="23">
        <f t="shared" si="4"/>
        <v>106763658.1273576</v>
      </c>
      <c r="I146" s="23">
        <f t="shared" si="4"/>
        <v>86089170.78320092</v>
      </c>
      <c r="J146" s="23">
        <f t="shared" si="4"/>
        <v>948193</v>
      </c>
      <c r="K146" s="23">
        <f t="shared" si="4"/>
        <v>99199455</v>
      </c>
      <c r="L146" s="23">
        <f t="shared" si="4"/>
        <v>32582512</v>
      </c>
      <c r="M146" s="23">
        <f t="shared" si="4"/>
        <v>823384</v>
      </c>
      <c r="N146" s="23">
        <f t="shared" si="4"/>
        <v>1247042.2</v>
      </c>
    </row>
    <row r="147" spans="2:14">
      <c r="D147" s="6" t="s">
        <v>383</v>
      </c>
      <c r="E147" s="25">
        <f>SUM(F146:K146)</f>
        <v>389310486.91055852</v>
      </c>
      <c r="H147" s="7"/>
      <c r="I147" s="7">
        <f>I146-I136</f>
        <v>85770376.406510219</v>
      </c>
      <c r="K147" s="7"/>
      <c r="L147" s="7"/>
    </row>
    <row r="148" spans="2:14">
      <c r="D148" s="6" t="s">
        <v>384</v>
      </c>
      <c r="E148" s="7">
        <f>E146-E147</f>
        <v>34652938.199999988</v>
      </c>
      <c r="F148" s="7">
        <f>SUM(F77:F122)</f>
        <v>849478</v>
      </c>
      <c r="G148" s="7">
        <f t="shared" ref="G148:N148" si="5">SUM(G77:G122)</f>
        <v>95460532</v>
      </c>
      <c r="H148" s="7">
        <f t="shared" si="5"/>
        <v>106267904.1273576</v>
      </c>
      <c r="I148" s="7">
        <f t="shared" si="5"/>
        <v>80393562.406510219</v>
      </c>
      <c r="J148" s="7">
        <f t="shared" si="5"/>
        <v>948193</v>
      </c>
      <c r="K148" s="7">
        <f t="shared" si="5"/>
        <v>30916587</v>
      </c>
      <c r="L148" s="7"/>
      <c r="M148" s="7">
        <f t="shared" si="5"/>
        <v>823384</v>
      </c>
      <c r="N148" s="7">
        <f t="shared" si="5"/>
        <v>1247042.2</v>
      </c>
    </row>
    <row r="149" spans="2:14">
      <c r="H149" s="25"/>
      <c r="I149" s="7"/>
    </row>
    <row r="150" spans="2:14">
      <c r="F150" s="6" t="s">
        <v>532</v>
      </c>
      <c r="G150" s="6" t="s">
        <v>533</v>
      </c>
      <c r="H150" s="6" t="s">
        <v>534</v>
      </c>
      <c r="I150" s="6" t="s">
        <v>536</v>
      </c>
      <c r="J150" s="6" t="s">
        <v>537</v>
      </c>
      <c r="K150" s="7">
        <f>SUM(K127:K128)</f>
        <v>4779439</v>
      </c>
      <c r="L150" s="7"/>
    </row>
    <row r="151" spans="2:14">
      <c r="D151" s="7"/>
      <c r="E151" s="6" t="s">
        <v>428</v>
      </c>
      <c r="F151" s="7">
        <f>K113+K114</f>
        <v>5188093</v>
      </c>
      <c r="G151" s="6">
        <v>0</v>
      </c>
      <c r="H151" s="7">
        <f>K119</f>
        <v>367107</v>
      </c>
      <c r="I151" s="7">
        <f>K120</f>
        <v>6259206</v>
      </c>
    </row>
    <row r="152" spans="2:14">
      <c r="D152" s="7"/>
      <c r="E152" s="6" t="s">
        <v>400</v>
      </c>
      <c r="F152" s="7">
        <f>I115+I116</f>
        <v>1178294</v>
      </c>
      <c r="G152" s="7">
        <f>I118</f>
        <v>378645</v>
      </c>
      <c r="H152" s="7">
        <v>0</v>
      </c>
      <c r="I152" s="6">
        <v>0</v>
      </c>
      <c r="K152" s="7">
        <f>K146-K136</f>
        <v>95446278</v>
      </c>
    </row>
    <row r="153" spans="2:14">
      <c r="E153" s="6" t="s">
        <v>538</v>
      </c>
      <c r="F153" s="7">
        <f>H117</f>
        <v>478451.12735759944</v>
      </c>
      <c r="G153" s="6">
        <v>0</v>
      </c>
      <c r="H153" s="6">
        <v>0</v>
      </c>
      <c r="I153" s="6">
        <v>0</v>
      </c>
    </row>
    <row r="155" spans="2:14">
      <c r="F155" s="7">
        <f>SUM(F151:I153)</f>
        <v>13849796.1273576</v>
      </c>
    </row>
    <row r="158" spans="2:14">
      <c r="F158" s="40">
        <f>F151/10^6</f>
        <v>5.1880930000000003</v>
      </c>
      <c r="G158" s="40">
        <f t="shared" ref="G158:I158" si="6">G151/10^6</f>
        <v>0</v>
      </c>
      <c r="H158" s="40">
        <f t="shared" si="6"/>
        <v>0.36710700000000002</v>
      </c>
      <c r="I158" s="40">
        <f t="shared" si="6"/>
        <v>6.2592059999999998</v>
      </c>
      <c r="K158" s="7">
        <f>K146-K136</f>
        <v>95446278</v>
      </c>
    </row>
    <row r="159" spans="2:14">
      <c r="E159" s="7">
        <f>E146-F146-J146-M146-N146</f>
        <v>420095327.91055852</v>
      </c>
      <c r="F159" s="40">
        <f t="shared" ref="F159:I159" si="7">F152/10^6</f>
        <v>1.178294</v>
      </c>
      <c r="G159" s="40">
        <f t="shared" si="7"/>
        <v>0.37864500000000001</v>
      </c>
      <c r="H159" s="40">
        <f t="shared" si="7"/>
        <v>0</v>
      </c>
      <c r="I159" s="40">
        <f t="shared" si="7"/>
        <v>0</v>
      </c>
    </row>
    <row r="160" spans="2:14">
      <c r="F160" s="40">
        <f t="shared" ref="F160:I160" si="8">F153/10^6</f>
        <v>0.47845112735759943</v>
      </c>
      <c r="G160" s="40">
        <f t="shared" si="8"/>
        <v>0</v>
      </c>
      <c r="H160" s="40">
        <f t="shared" si="8"/>
        <v>0</v>
      </c>
      <c r="I160" s="40">
        <f t="shared" si="8"/>
        <v>0</v>
      </c>
    </row>
    <row r="170" spans="5:5">
      <c r="E170" s="6">
        <v>45</v>
      </c>
    </row>
    <row r="171" spans="5:5">
      <c r="E171" s="6">
        <v>41</v>
      </c>
    </row>
    <row r="172" spans="5:5">
      <c r="E172" s="6">
        <v>25</v>
      </c>
    </row>
    <row r="173" spans="5:5">
      <c r="E173" s="6">
        <v>13</v>
      </c>
    </row>
  </sheetData>
  <autoFilter ref="B2:N148" xr:uid="{3BC52761-8449-4063-958D-9DA97087FCBE}"/>
  <mergeCells count="69">
    <mergeCell ref="D113:D117"/>
    <mergeCell ref="B108:B111"/>
    <mergeCell ref="C82:C83"/>
    <mergeCell ref="D82:D83"/>
    <mergeCell ref="B101:B105"/>
    <mergeCell ref="C101:C105"/>
    <mergeCell ref="D101:D105"/>
    <mergeCell ref="B99:B100"/>
    <mergeCell ref="C99:C100"/>
    <mergeCell ref="D99:D100"/>
    <mergeCell ref="C108:C111"/>
    <mergeCell ref="D108:D111"/>
    <mergeCell ref="B96:B97"/>
    <mergeCell ref="C96:C97"/>
    <mergeCell ref="B21:B22"/>
    <mergeCell ref="C21:C22"/>
    <mergeCell ref="D21:D22"/>
    <mergeCell ref="B90:B92"/>
    <mergeCell ref="B87:B88"/>
    <mergeCell ref="C87:C88"/>
    <mergeCell ref="D87:D88"/>
    <mergeCell ref="D90:D92"/>
    <mergeCell ref="C90:C92"/>
    <mergeCell ref="B84:B85"/>
    <mergeCell ref="C84:C85"/>
    <mergeCell ref="D84:D85"/>
    <mergeCell ref="B82:B83"/>
    <mergeCell ref="B38:B42"/>
    <mergeCell ref="C24:C25"/>
    <mergeCell ref="D24:D25"/>
    <mergeCell ref="B6:B7"/>
    <mergeCell ref="C6:C7"/>
    <mergeCell ref="D6:D7"/>
    <mergeCell ref="B80:B81"/>
    <mergeCell ref="C80:C81"/>
    <mergeCell ref="D80:D81"/>
    <mergeCell ref="B8:B9"/>
    <mergeCell ref="C8:C9"/>
    <mergeCell ref="D8:D9"/>
    <mergeCell ref="B10:B11"/>
    <mergeCell ref="C10:C11"/>
    <mergeCell ref="D10:D11"/>
    <mergeCell ref="B12:B13"/>
    <mergeCell ref="B15:B17"/>
    <mergeCell ref="C15:C17"/>
    <mergeCell ref="C33:C36"/>
    <mergeCell ref="D15:D17"/>
    <mergeCell ref="C12:C13"/>
    <mergeCell ref="D12:D13"/>
    <mergeCell ref="B18:B20"/>
    <mergeCell ref="C18:C20"/>
    <mergeCell ref="D18:D20"/>
    <mergeCell ref="D26:D30"/>
    <mergeCell ref="C26:C30"/>
    <mergeCell ref="B26:B30"/>
    <mergeCell ref="B33:B36"/>
    <mergeCell ref="D33:D36"/>
    <mergeCell ref="D38:D42"/>
    <mergeCell ref="D96:D97"/>
    <mergeCell ref="C93:C95"/>
    <mergeCell ref="B93:B95"/>
    <mergeCell ref="D93:D95"/>
    <mergeCell ref="C133:C134"/>
    <mergeCell ref="B133:B134"/>
    <mergeCell ref="B58:B59"/>
    <mergeCell ref="B24:B25"/>
    <mergeCell ref="C38:C42"/>
    <mergeCell ref="B113:B117"/>
    <mergeCell ref="C113:C117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CC392-5E9C-40BA-9F53-1BFD0D2B4DFB}">
  <sheetPr>
    <tabColor theme="5" tint="0.39997558519241921"/>
  </sheetPr>
  <dimension ref="B1:Q136"/>
  <sheetViews>
    <sheetView zoomScaleNormal="100" workbookViewId="0">
      <selection activeCell="C30" sqref="C30:D30"/>
    </sheetView>
  </sheetViews>
  <sheetFormatPr defaultColWidth="8.75" defaultRowHeight="13.5"/>
  <cols>
    <col min="1" max="1" width="1.25" style="6" customWidth="1"/>
    <col min="2" max="2" width="13.75" style="6" customWidth="1"/>
    <col min="3" max="3" width="18.75" style="6" customWidth="1"/>
    <col min="4" max="4" width="23.75" style="6" bestFit="1" customWidth="1"/>
    <col min="5" max="5" width="76.5" style="6" bestFit="1" customWidth="1"/>
    <col min="6" max="6" width="16.125" style="6" bestFit="1" customWidth="1"/>
    <col min="7" max="7" width="14.75" style="6" bestFit="1" customWidth="1"/>
    <col min="8" max="8" width="15.25" style="6" bestFit="1" customWidth="1"/>
    <col min="9" max="11" width="13.75" style="6" bestFit="1" customWidth="1"/>
    <col min="12" max="13" width="15.625" style="6" customWidth="1"/>
    <col min="14" max="14" width="1.75" style="6" customWidth="1"/>
    <col min="15" max="15" width="28.5" style="6" bestFit="1" customWidth="1"/>
    <col min="16" max="16" width="10.75" style="6" customWidth="1"/>
    <col min="17" max="17" width="15.75" style="6" bestFit="1" customWidth="1"/>
    <col min="18" max="18" width="12.625" style="6" bestFit="1" customWidth="1"/>
    <col min="19" max="20" width="15" style="6" bestFit="1" customWidth="1"/>
    <col min="21" max="21" width="11.25" style="6" bestFit="1" customWidth="1"/>
    <col min="22" max="16384" width="8.75" style="6"/>
  </cols>
  <sheetData>
    <row r="1" spans="2:17">
      <c r="F1" s="45">
        <v>90720750</v>
      </c>
    </row>
    <row r="2" spans="2:17">
      <c r="B2" s="14" t="s">
        <v>56</v>
      </c>
      <c r="C2" s="15" t="s">
        <v>42</v>
      </c>
      <c r="D2" s="15" t="s">
        <v>72</v>
      </c>
      <c r="E2" s="16" t="s">
        <v>26</v>
      </c>
      <c r="F2" s="16" t="s">
        <v>556</v>
      </c>
      <c r="G2" s="17" t="s">
        <v>557</v>
      </c>
      <c r="H2" s="17" t="s">
        <v>558</v>
      </c>
      <c r="I2" s="17" t="s">
        <v>592</v>
      </c>
      <c r="J2" s="17"/>
      <c r="K2" s="17"/>
      <c r="L2" s="17"/>
      <c r="M2" s="17"/>
      <c r="O2" s="8" t="s">
        <v>112</v>
      </c>
      <c r="P2" s="8"/>
      <c r="Q2" s="8"/>
    </row>
    <row r="3" spans="2:17">
      <c r="B3" s="5"/>
      <c r="C3" s="2">
        <v>45335</v>
      </c>
      <c r="D3" s="172">
        <v>1329</v>
      </c>
      <c r="E3" s="5" t="s">
        <v>559</v>
      </c>
      <c r="F3" s="5">
        <v>1900000000</v>
      </c>
      <c r="G3" s="5"/>
      <c r="H3" s="5"/>
      <c r="I3" s="5"/>
      <c r="J3" s="5"/>
      <c r="K3" s="5"/>
      <c r="L3" s="5"/>
      <c r="M3" s="5"/>
      <c r="O3" s="146" t="s">
        <v>114</v>
      </c>
      <c r="P3" s="8" t="s">
        <v>300</v>
      </c>
      <c r="Q3" s="105">
        <f>G14</f>
        <v>1878380000</v>
      </c>
    </row>
    <row r="4" spans="2:17">
      <c r="B4" s="204"/>
      <c r="C4" s="4">
        <v>45454</v>
      </c>
      <c r="D4" s="288">
        <v>1351</v>
      </c>
      <c r="E4" s="5" t="s">
        <v>574</v>
      </c>
      <c r="F4" s="5"/>
      <c r="G4" s="5"/>
      <c r="H4" s="5">
        <v>31300000000</v>
      </c>
      <c r="I4" s="5"/>
      <c r="J4" s="5"/>
      <c r="K4" s="5"/>
      <c r="L4" s="5"/>
      <c r="M4" s="5"/>
      <c r="O4" s="234"/>
      <c r="Q4" s="291"/>
    </row>
    <row r="5" spans="2:17">
      <c r="B5" s="34"/>
      <c r="C5" s="32">
        <v>45454</v>
      </c>
      <c r="D5" s="288">
        <v>1351</v>
      </c>
      <c r="E5" s="5" t="s">
        <v>576</v>
      </c>
      <c r="F5" s="5"/>
      <c r="G5" s="237"/>
      <c r="H5" s="5">
        <f>ROUND(H22*D5,-4)</f>
        <v>586720000</v>
      </c>
      <c r="I5" s="5"/>
      <c r="J5" s="5"/>
      <c r="K5" s="5"/>
      <c r="L5" s="5"/>
      <c r="M5" s="5"/>
      <c r="N5" s="7"/>
    </row>
    <row r="6" spans="2:17">
      <c r="B6" s="34"/>
      <c r="C6" s="32">
        <v>45546</v>
      </c>
      <c r="D6" s="288">
        <v>1332.3</v>
      </c>
      <c r="E6" s="5" t="s">
        <v>594</v>
      </c>
      <c r="F6" s="5">
        <f>ROUND(F23*$D$6,-4)</f>
        <v>2050260000</v>
      </c>
      <c r="G6" s="5">
        <f>ROUND(G23*$D$6,-4)</f>
        <v>1672560000</v>
      </c>
      <c r="H6" s="5">
        <f>ROUND(H23*$D$6,-4)</f>
        <v>423020000</v>
      </c>
      <c r="I6" s="5">
        <f>ROUND(I23*$D$6,-4)</f>
        <v>335560000</v>
      </c>
      <c r="J6" s="5"/>
      <c r="K6" s="5"/>
      <c r="L6" s="5"/>
      <c r="M6" s="5"/>
      <c r="N6" s="7"/>
    </row>
    <row r="7" spans="2:17">
      <c r="B7" s="34"/>
      <c r="C7" s="32">
        <v>45637</v>
      </c>
      <c r="D7" s="288">
        <v>1397.5</v>
      </c>
      <c r="E7" s="5" t="s">
        <v>600</v>
      </c>
      <c r="F7" s="5">
        <v>3680850000</v>
      </c>
      <c r="G7" s="5"/>
      <c r="H7" s="5"/>
      <c r="I7" s="5"/>
      <c r="J7" s="5"/>
      <c r="K7" s="5"/>
      <c r="L7" s="5"/>
      <c r="M7" s="5"/>
      <c r="N7" s="7"/>
    </row>
    <row r="8" spans="2:17">
      <c r="B8" s="34"/>
      <c r="C8" s="32">
        <v>45743</v>
      </c>
      <c r="D8" s="288">
        <v>1459</v>
      </c>
      <c r="E8" s="5" t="s">
        <v>611</v>
      </c>
      <c r="F8" s="5">
        <v>410150000</v>
      </c>
      <c r="G8" s="5"/>
      <c r="H8" s="5">
        <v>526390000</v>
      </c>
      <c r="I8" s="5"/>
      <c r="J8" s="5"/>
      <c r="K8" s="5"/>
      <c r="L8" s="5"/>
      <c r="M8" s="5"/>
      <c r="N8" s="7"/>
    </row>
    <row r="9" spans="2:17">
      <c r="B9" s="34"/>
      <c r="C9" s="32">
        <v>45818</v>
      </c>
      <c r="D9" s="288">
        <v>1394.8</v>
      </c>
      <c r="E9" s="5" t="s">
        <v>611</v>
      </c>
      <c r="F9" s="5">
        <v>373020000</v>
      </c>
      <c r="G9" s="5"/>
      <c r="H9" s="5">
        <v>496470000</v>
      </c>
      <c r="I9" s="5"/>
      <c r="J9" s="5"/>
      <c r="K9" s="5"/>
      <c r="L9" s="5"/>
      <c r="M9" s="5"/>
      <c r="N9" s="7"/>
    </row>
    <row r="10" spans="2:17">
      <c r="B10" s="34"/>
      <c r="C10" s="32">
        <v>45870</v>
      </c>
      <c r="D10" s="288">
        <v>1379.2</v>
      </c>
      <c r="E10" s="5" t="s">
        <v>611</v>
      </c>
      <c r="F10" s="5">
        <v>374840000</v>
      </c>
      <c r="G10" s="5"/>
      <c r="H10" s="5">
        <v>548680000</v>
      </c>
      <c r="I10" s="5"/>
      <c r="J10" s="5"/>
      <c r="K10" s="5"/>
      <c r="L10" s="5"/>
      <c r="M10" s="5"/>
      <c r="N10" s="7"/>
    </row>
    <row r="11" spans="2:17">
      <c r="B11" s="34"/>
      <c r="C11" s="32">
        <v>46006</v>
      </c>
      <c r="D11" s="287">
        <v>1450.18</v>
      </c>
      <c r="E11" s="5" t="s">
        <v>634</v>
      </c>
      <c r="F11" s="5"/>
      <c r="G11" s="5"/>
      <c r="H11" s="5">
        <v>572720000</v>
      </c>
      <c r="I11" s="5"/>
      <c r="J11" s="5"/>
      <c r="K11" s="5"/>
      <c r="L11" s="5"/>
      <c r="M11" s="5"/>
      <c r="N11" s="7"/>
    </row>
    <row r="12" spans="2:17">
      <c r="B12" s="34"/>
      <c r="C12" s="32">
        <v>45680</v>
      </c>
      <c r="D12" s="287">
        <v>1442.17</v>
      </c>
      <c r="E12" s="5" t="s">
        <v>639</v>
      </c>
      <c r="F12" s="5">
        <v>3705020000</v>
      </c>
      <c r="G12" s="5"/>
      <c r="H12" s="5"/>
      <c r="I12" s="5"/>
      <c r="J12" s="5"/>
      <c r="K12" s="5"/>
      <c r="L12" s="5"/>
      <c r="M12" s="5"/>
      <c r="N12" s="7"/>
    </row>
    <row r="13" spans="2:17">
      <c r="B13" s="34"/>
      <c r="C13" s="161">
        <v>45740</v>
      </c>
      <c r="D13" s="287">
        <v>1427.5</v>
      </c>
      <c r="E13" s="5" t="s">
        <v>644</v>
      </c>
      <c r="F13" s="5">
        <v>224780000</v>
      </c>
      <c r="G13" s="5">
        <v>205820000</v>
      </c>
      <c r="H13" s="5"/>
      <c r="I13" s="5">
        <v>51980000</v>
      </c>
      <c r="J13" s="5"/>
      <c r="K13" s="5"/>
      <c r="L13" s="5"/>
      <c r="M13" s="5"/>
      <c r="N13" s="7"/>
    </row>
    <row r="14" spans="2:17">
      <c r="B14" s="22" t="s">
        <v>27</v>
      </c>
      <c r="C14" s="22"/>
      <c r="D14" s="22" t="s">
        <v>50</v>
      </c>
      <c r="E14" s="236">
        <f>SUM(F14:L14)</f>
        <v>49438840000</v>
      </c>
      <c r="F14" s="23">
        <f>SUM(F3:F13)</f>
        <v>12718920000</v>
      </c>
      <c r="G14" s="23">
        <f t="shared" ref="G14:M14" si="0">SUM(G3:G13)</f>
        <v>1878380000</v>
      </c>
      <c r="H14" s="23">
        <f t="shared" si="0"/>
        <v>34454000000</v>
      </c>
      <c r="I14" s="23">
        <f t="shared" si="0"/>
        <v>387540000</v>
      </c>
      <c r="J14" s="23">
        <f t="shared" si="0"/>
        <v>0</v>
      </c>
      <c r="K14" s="23">
        <f t="shared" si="0"/>
        <v>0</v>
      </c>
      <c r="L14" s="23">
        <f t="shared" si="0"/>
        <v>0</v>
      </c>
      <c r="M14" s="23">
        <f t="shared" si="0"/>
        <v>0</v>
      </c>
    </row>
    <row r="15" spans="2:17">
      <c r="G15" s="7"/>
      <c r="H15" s="7"/>
      <c r="I15" s="7"/>
      <c r="J15" s="7"/>
      <c r="K15" s="7"/>
      <c r="L15" s="7"/>
      <c r="M15" s="7"/>
    </row>
    <row r="16" spans="2:17">
      <c r="F16" s="7">
        <v>108539896596.42001</v>
      </c>
      <c r="G16" s="7">
        <v>77791616130.860001</v>
      </c>
      <c r="H16" s="7">
        <v>38623821835.620003</v>
      </c>
      <c r="I16" s="7"/>
      <c r="J16" s="7"/>
      <c r="K16" s="7"/>
      <c r="L16" s="7"/>
      <c r="M16" s="7"/>
    </row>
    <row r="17" spans="2:17">
      <c r="F17" s="7">
        <f>SUM(F14:F16)</f>
        <v>121258816596.42001</v>
      </c>
      <c r="G17" s="7">
        <f>SUM(G14:G16)</f>
        <v>79669996130.860001</v>
      </c>
      <c r="H17" s="7">
        <f t="shared" ref="H17" si="1">SUM(H14:H16)</f>
        <v>73077821835.619995</v>
      </c>
      <c r="I17" s="7"/>
      <c r="J17" s="7"/>
      <c r="K17" s="7"/>
      <c r="L17" s="7"/>
      <c r="M17" s="7"/>
    </row>
    <row r="18" spans="2:17">
      <c r="G18" s="27"/>
      <c r="H18" s="27" t="s">
        <v>627</v>
      </c>
      <c r="I18" s="27"/>
      <c r="J18" s="27"/>
      <c r="K18" s="27"/>
    </row>
    <row r="19" spans="2:17">
      <c r="B19" s="14" t="s">
        <v>55</v>
      </c>
      <c r="C19" s="15" t="s">
        <v>42</v>
      </c>
      <c r="D19" s="15" t="s">
        <v>28</v>
      </c>
      <c r="E19" s="16" t="s">
        <v>26</v>
      </c>
      <c r="F19" s="16" t="str">
        <f t="shared" ref="F19:M19" si="2">F2</f>
        <v>Sanha 2 (Star 3)</v>
      </c>
      <c r="G19" s="17" t="str">
        <f t="shared" si="2"/>
        <v>Gimhae 3 (star 4)</v>
      </c>
      <c r="H19" s="17" t="str">
        <f t="shared" si="2"/>
        <v>Iljuk 2 (Star 6)</v>
      </c>
      <c r="I19" s="17" t="str">
        <f t="shared" si="2"/>
        <v>Sunwood Byul</v>
      </c>
      <c r="J19" s="17">
        <f t="shared" si="2"/>
        <v>0</v>
      </c>
      <c r="K19" s="17">
        <f t="shared" si="2"/>
        <v>0</v>
      </c>
      <c r="L19" s="17">
        <f t="shared" si="2"/>
        <v>0</v>
      </c>
      <c r="M19" s="17">
        <f t="shared" si="2"/>
        <v>0</v>
      </c>
      <c r="O19" s="8" t="s">
        <v>112</v>
      </c>
      <c r="P19" s="8"/>
      <c r="Q19" s="8"/>
    </row>
    <row r="20" spans="2:17">
      <c r="B20" s="5"/>
      <c r="C20" s="2">
        <v>45335</v>
      </c>
      <c r="D20" s="172">
        <f>D3</f>
        <v>1329</v>
      </c>
      <c r="E20" s="5" t="str">
        <f>E3</f>
        <v>Civil Works</v>
      </c>
      <c r="F20" s="5">
        <f>ROUND(F3/$D$20,)</f>
        <v>1429646</v>
      </c>
      <c r="G20" s="145"/>
      <c r="H20" s="5"/>
      <c r="I20" s="5"/>
      <c r="J20" s="5"/>
      <c r="K20" s="5"/>
      <c r="L20" s="5"/>
      <c r="M20" s="5"/>
      <c r="O20" s="240"/>
      <c r="P20" s="8"/>
      <c r="Q20" s="8"/>
    </row>
    <row r="21" spans="2:17">
      <c r="B21" s="204"/>
      <c r="C21" s="4">
        <v>45454</v>
      </c>
      <c r="D21" s="288">
        <v>1351</v>
      </c>
      <c r="E21" s="5" t="s">
        <v>573</v>
      </c>
      <c r="F21" s="5"/>
      <c r="G21" s="145"/>
      <c r="H21" s="5">
        <f>ROUND(H4/$D$21,)</f>
        <v>23168024</v>
      </c>
      <c r="I21" s="5"/>
      <c r="J21" s="5"/>
      <c r="K21" s="5"/>
      <c r="L21" s="5"/>
      <c r="M21" s="5"/>
    </row>
    <row r="22" spans="2:17">
      <c r="B22" s="34"/>
      <c r="C22" s="32">
        <v>45454</v>
      </c>
      <c r="D22" s="288">
        <v>1351</v>
      </c>
      <c r="E22" s="5" t="s">
        <v>575</v>
      </c>
      <c r="F22" s="5"/>
      <c r="G22" s="237"/>
      <c r="H22" s="5">
        <v>434283</v>
      </c>
      <c r="I22" s="5"/>
      <c r="J22" s="5"/>
      <c r="K22" s="5"/>
      <c r="L22" s="5"/>
      <c r="M22" s="5"/>
      <c r="N22" s="7"/>
    </row>
    <row r="23" spans="2:17">
      <c r="B23" s="34"/>
      <c r="C23" s="32">
        <v>45546</v>
      </c>
      <c r="D23" s="288">
        <v>1332.3</v>
      </c>
      <c r="E23" s="5" t="s">
        <v>593</v>
      </c>
      <c r="F23" s="5">
        <v>1538890</v>
      </c>
      <c r="G23" s="237">
        <v>1255394</v>
      </c>
      <c r="H23" s="5">
        <v>317508</v>
      </c>
      <c r="I23" s="5">
        <v>251866</v>
      </c>
      <c r="J23" s="5"/>
      <c r="K23" s="5"/>
      <c r="L23" s="5"/>
      <c r="M23" s="5"/>
      <c r="N23" s="7"/>
    </row>
    <row r="24" spans="2:17">
      <c r="B24" s="34"/>
      <c r="C24" s="32">
        <v>45637</v>
      </c>
      <c r="D24" s="288">
        <v>1397.5</v>
      </c>
      <c r="E24" s="5" t="s">
        <v>599</v>
      </c>
      <c r="F24" s="5">
        <v>2633878.7891618558</v>
      </c>
      <c r="G24" s="237"/>
      <c r="H24" s="5"/>
      <c r="I24" s="5"/>
      <c r="J24" s="5"/>
      <c r="K24" s="5"/>
      <c r="L24" s="5"/>
      <c r="M24" s="5"/>
      <c r="N24" s="7"/>
    </row>
    <row r="25" spans="2:17">
      <c r="B25" s="34"/>
      <c r="C25" s="32">
        <v>45743</v>
      </c>
      <c r="D25" s="288">
        <v>1459</v>
      </c>
      <c r="E25" s="5" t="s">
        <v>610</v>
      </c>
      <c r="F25" s="5">
        <v>281116.17132199998</v>
      </c>
      <c r="G25" s="237"/>
      <c r="H25" s="5">
        <v>360791</v>
      </c>
      <c r="I25" s="5"/>
      <c r="J25" s="5"/>
      <c r="K25" s="5"/>
      <c r="L25" s="5"/>
      <c r="M25" s="5"/>
      <c r="N25" s="7"/>
    </row>
    <row r="26" spans="2:17">
      <c r="B26" s="34"/>
      <c r="C26" s="32">
        <v>45818</v>
      </c>
      <c r="D26" s="288">
        <v>1394.8</v>
      </c>
      <c r="E26" s="5" t="s">
        <v>611</v>
      </c>
      <c r="F26" s="5">
        <v>267437</v>
      </c>
      <c r="G26" s="237"/>
      <c r="H26" s="5">
        <v>355944</v>
      </c>
      <c r="I26" s="5"/>
      <c r="J26" s="5"/>
      <c r="K26" s="5"/>
      <c r="L26" s="5"/>
      <c r="M26" s="5"/>
      <c r="N26" s="7"/>
    </row>
    <row r="27" spans="2:17">
      <c r="B27" s="34"/>
      <c r="C27" s="32">
        <v>45870</v>
      </c>
      <c r="D27" s="288">
        <v>1379.2</v>
      </c>
      <c r="E27" s="5" t="s">
        <v>611</v>
      </c>
      <c r="F27" s="5">
        <v>271783</v>
      </c>
      <c r="G27" s="237"/>
      <c r="H27" s="5">
        <v>397828</v>
      </c>
      <c r="I27" s="5"/>
      <c r="J27" s="5"/>
      <c r="K27" s="5"/>
      <c r="L27" s="5"/>
      <c r="M27" s="5"/>
      <c r="N27" s="7"/>
    </row>
    <row r="28" spans="2:17">
      <c r="B28" s="34"/>
      <c r="C28" s="32">
        <v>46006</v>
      </c>
      <c r="D28" s="287">
        <v>1450.18</v>
      </c>
      <c r="E28" s="5" t="s">
        <v>634</v>
      </c>
      <c r="F28" s="5"/>
      <c r="G28" s="237"/>
      <c r="H28" s="5">
        <v>394932</v>
      </c>
      <c r="I28" s="5"/>
      <c r="J28" s="5"/>
      <c r="K28" s="5"/>
      <c r="L28" s="5"/>
      <c r="M28" s="5"/>
      <c r="N28" s="7"/>
    </row>
    <row r="29" spans="2:17">
      <c r="B29" s="34"/>
      <c r="C29" s="32">
        <v>45680</v>
      </c>
      <c r="D29" s="287">
        <v>1442.17</v>
      </c>
      <c r="E29" s="5" t="s">
        <v>639</v>
      </c>
      <c r="F29" s="5">
        <v>2569057</v>
      </c>
      <c r="G29" s="237"/>
      <c r="H29" s="5"/>
      <c r="I29" s="5"/>
      <c r="J29" s="5"/>
      <c r="K29" s="5"/>
      <c r="L29" s="5"/>
      <c r="M29" s="5"/>
      <c r="N29" s="7"/>
    </row>
    <row r="30" spans="2:17">
      <c r="B30" s="34"/>
      <c r="C30" s="161">
        <v>45740</v>
      </c>
      <c r="D30" s="287">
        <v>1427.5</v>
      </c>
      <c r="E30" s="5" t="s">
        <v>644</v>
      </c>
      <c r="F30" s="5">
        <v>157469.09486456701</v>
      </c>
      <c r="G30" s="237">
        <v>144182.25</v>
      </c>
      <c r="H30" s="5"/>
      <c r="I30" s="5">
        <v>36411.43</v>
      </c>
      <c r="J30" s="5"/>
      <c r="K30" s="5"/>
      <c r="L30" s="5"/>
      <c r="M30" s="5"/>
      <c r="N30" s="7"/>
    </row>
    <row r="31" spans="2:17" ht="14.25" customHeight="1">
      <c r="B31" s="22" t="s">
        <v>27</v>
      </c>
      <c r="C31" s="22"/>
      <c r="D31" s="22" t="s">
        <v>50</v>
      </c>
      <c r="E31" s="23">
        <f>SUM(F31:M31)</f>
        <v>36266440.735348426</v>
      </c>
      <c r="F31" s="300">
        <f>SUM(F20:F30)</f>
        <v>9149277.0553484242</v>
      </c>
      <c r="G31" s="300">
        <f t="shared" ref="G31:M31" si="3">SUM(G20:G30)</f>
        <v>1399576.25</v>
      </c>
      <c r="H31" s="300">
        <f t="shared" si="3"/>
        <v>25429310</v>
      </c>
      <c r="I31" s="300">
        <f t="shared" si="3"/>
        <v>288277.43</v>
      </c>
      <c r="J31" s="300">
        <f t="shared" si="3"/>
        <v>0</v>
      </c>
      <c r="K31" s="300">
        <f t="shared" si="3"/>
        <v>0</v>
      </c>
      <c r="L31" s="300">
        <f t="shared" si="3"/>
        <v>0</v>
      </c>
      <c r="M31" s="300">
        <f t="shared" si="3"/>
        <v>0</v>
      </c>
    </row>
    <row r="32" spans="2:17">
      <c r="E32" s="25" t="s">
        <v>625</v>
      </c>
      <c r="F32" s="45">
        <v>90720750</v>
      </c>
      <c r="G32" s="45">
        <v>64790298</v>
      </c>
      <c r="H32" s="45">
        <f>'Dev JV1_Capital call-Star'!X363</f>
        <v>32386757</v>
      </c>
      <c r="I32" s="7"/>
    </row>
    <row r="33" spans="4:13">
      <c r="E33" s="301" t="s">
        <v>626</v>
      </c>
      <c r="F33" s="45"/>
      <c r="G33" s="7"/>
      <c r="H33" s="7"/>
      <c r="I33" s="7"/>
      <c r="J33" s="7"/>
      <c r="K33" s="7"/>
      <c r="L33" s="7"/>
      <c r="M33" s="7"/>
    </row>
    <row r="34" spans="4:13">
      <c r="F34" s="45"/>
      <c r="G34" s="45"/>
      <c r="H34" s="45"/>
      <c r="M34" s="45"/>
    </row>
    <row r="35" spans="4:13">
      <c r="F35" s="7"/>
      <c r="G35" s="7"/>
      <c r="H35" s="7"/>
      <c r="M35" s="45"/>
    </row>
    <row r="36" spans="4:13">
      <c r="D36" s="7"/>
      <c r="E36" s="308" t="s">
        <v>635</v>
      </c>
      <c r="F36" s="309">
        <f>+SUM(F32,F20:F29)</f>
        <v>99712557.960483864</v>
      </c>
      <c r="G36" s="309">
        <f>+SUM(G32,G20:G29)</f>
        <v>66045692</v>
      </c>
      <c r="H36" s="309">
        <f>+SUM(H32,H20:H29)</f>
        <v>57816067</v>
      </c>
      <c r="I36" s="7"/>
      <c r="M36" s="45"/>
    </row>
    <row r="37" spans="4:13">
      <c r="D37" s="7"/>
      <c r="F37" s="7"/>
      <c r="G37" s="7"/>
      <c r="H37" s="7"/>
      <c r="J37" s="7"/>
    </row>
    <row r="38" spans="4:13">
      <c r="F38" s="7"/>
    </row>
    <row r="39" spans="4:13">
      <c r="F39" s="45"/>
      <c r="G39" s="45"/>
      <c r="H39" s="45"/>
    </row>
    <row r="40" spans="4:13">
      <c r="F40" s="7"/>
    </row>
    <row r="41" spans="4:13">
      <c r="F41" s="45"/>
    </row>
    <row r="42" spans="4:13">
      <c r="F42" s="45"/>
      <c r="H42" s="7"/>
    </row>
    <row r="43" spans="4:13">
      <c r="F43" s="40"/>
      <c r="G43" s="40"/>
      <c r="H43" s="40"/>
      <c r="I43" s="40"/>
    </row>
    <row r="44" spans="4:13">
      <c r="F44" s="45"/>
      <c r="G44" s="40"/>
      <c r="H44" s="40"/>
      <c r="I44" s="40"/>
    </row>
    <row r="45" spans="4:13">
      <c r="F45" s="45"/>
      <c r="G45" s="40"/>
      <c r="H45" s="40"/>
      <c r="I45" s="40"/>
    </row>
    <row r="46" spans="4:13">
      <c r="E46" s="310"/>
      <c r="F46" s="45"/>
      <c r="H46" s="45"/>
    </row>
    <row r="48" spans="4:13">
      <c r="F48" s="45"/>
    </row>
    <row r="49" spans="6:9">
      <c r="F49" s="45"/>
      <c r="G49" s="45"/>
      <c r="H49" s="45"/>
      <c r="I49" s="45"/>
    </row>
    <row r="50" spans="6:9">
      <c r="F50" s="45"/>
      <c r="G50" s="45"/>
      <c r="H50" s="45"/>
      <c r="I50" s="45"/>
    </row>
    <row r="71" spans="4:13">
      <c r="D71" s="6">
        <v>1373.5</v>
      </c>
      <c r="E71" s="6" t="s">
        <v>587</v>
      </c>
    </row>
    <row r="72" spans="4:13">
      <c r="D72" s="6">
        <v>1373.5</v>
      </c>
      <c r="E72" s="6" t="s">
        <v>589</v>
      </c>
      <c r="I72" s="6">
        <v>0</v>
      </c>
      <c r="K72" s="6">
        <v>0</v>
      </c>
    </row>
    <row r="74" spans="4:13">
      <c r="F74" s="7">
        <f t="shared" ref="F74:M74" si="4">SUM(F3:F72)</f>
        <v>255445285054.91122</v>
      </c>
      <c r="G74" s="6">
        <f t="shared" si="4"/>
        <v>161352007404.22</v>
      </c>
      <c r="H74" s="6">
        <f t="shared" si="4"/>
        <v>180750705115.23999</v>
      </c>
      <c r="I74" s="6">
        <f t="shared" si="4"/>
        <v>775656554.8599999</v>
      </c>
      <c r="J74" s="6">
        <f t="shared" si="4"/>
        <v>0</v>
      </c>
      <c r="K74" s="6">
        <f t="shared" si="4"/>
        <v>0</v>
      </c>
      <c r="L74" s="6">
        <f t="shared" si="4"/>
        <v>0</v>
      </c>
      <c r="M74" s="6">
        <f t="shared" si="4"/>
        <v>0</v>
      </c>
    </row>
    <row r="133" spans="4:13">
      <c r="D133" s="6">
        <v>1373.5</v>
      </c>
      <c r="E133" s="6" t="s">
        <v>567</v>
      </c>
    </row>
    <row r="134" spans="4:13">
      <c r="D134" s="6">
        <v>1373.5</v>
      </c>
      <c r="E134" s="6" t="s">
        <v>588</v>
      </c>
    </row>
    <row r="136" spans="4:13">
      <c r="F136" s="6">
        <f>SUM(F80:F134)</f>
        <v>0</v>
      </c>
      <c r="G136" s="6">
        <f t="shared" ref="G136:M136" si="5">SUM(G80:G134)</f>
        <v>0</v>
      </c>
      <c r="H136" s="6">
        <f t="shared" si="5"/>
        <v>0</v>
      </c>
      <c r="I136" s="6">
        <f t="shared" si="5"/>
        <v>0</v>
      </c>
      <c r="J136" s="6">
        <f t="shared" si="5"/>
        <v>0</v>
      </c>
      <c r="K136" s="6">
        <f t="shared" si="5"/>
        <v>0</v>
      </c>
      <c r="L136" s="6">
        <f t="shared" si="5"/>
        <v>0</v>
      </c>
      <c r="M136" s="6">
        <f t="shared" si="5"/>
        <v>0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0AD09-B894-4F08-954A-C8074B8B5E3E}">
  <sheetPr>
    <tabColor theme="5" tint="0.39997558519241921"/>
  </sheetPr>
  <dimension ref="B2:K44"/>
  <sheetViews>
    <sheetView showGridLines="0" zoomScale="85" zoomScaleNormal="85" workbookViewId="0">
      <selection activeCell="L35" sqref="L35"/>
    </sheetView>
  </sheetViews>
  <sheetFormatPr defaultRowHeight="16.5"/>
  <cols>
    <col min="2" max="2" width="14.625" bestFit="1" customWidth="1"/>
    <col min="3" max="3" width="11.125" bestFit="1" customWidth="1"/>
    <col min="4" max="4" width="8.75" bestFit="1" customWidth="1"/>
    <col min="5" max="5" width="88.5" bestFit="1" customWidth="1"/>
    <col min="6" max="6" width="17.75" customWidth="1"/>
    <col min="7" max="7" width="12.75" bestFit="1" customWidth="1"/>
    <col min="8" max="8" width="12.75" style="275" bestFit="1" customWidth="1"/>
    <col min="10" max="10" width="14.75" bestFit="1" customWidth="1"/>
    <col min="11" max="11" width="13.75" bestFit="1" customWidth="1"/>
  </cols>
  <sheetData>
    <row r="2" spans="2:11">
      <c r="B2" s="14" t="s">
        <v>56</v>
      </c>
      <c r="C2" s="15" t="s">
        <v>42</v>
      </c>
      <c r="D2" s="15" t="s">
        <v>72</v>
      </c>
      <c r="E2" s="16" t="s">
        <v>26</v>
      </c>
      <c r="F2" s="16" t="s">
        <v>549</v>
      </c>
    </row>
    <row r="3" spans="2:11">
      <c r="B3" s="389" t="s">
        <v>551</v>
      </c>
      <c r="C3" s="390">
        <v>45322</v>
      </c>
      <c r="D3" s="391">
        <v>1315</v>
      </c>
      <c r="E3" s="36" t="s">
        <v>553</v>
      </c>
      <c r="F3" s="286">
        <v>8978795914</v>
      </c>
      <c r="G3" s="275"/>
    </row>
    <row r="4" spans="2:11">
      <c r="B4" s="389"/>
      <c r="C4" s="390"/>
      <c r="D4" s="391"/>
      <c r="E4" s="36" t="s">
        <v>555</v>
      </c>
      <c r="F4" s="286">
        <v>740618137</v>
      </c>
    </row>
    <row r="5" spans="2:11">
      <c r="B5" s="389" t="s">
        <v>560</v>
      </c>
      <c r="C5" s="390">
        <v>45364</v>
      </c>
      <c r="D5" s="389">
        <v>1331.4</v>
      </c>
      <c r="E5" s="36" t="s">
        <v>562</v>
      </c>
      <c r="F5" s="286">
        <v>5170000000</v>
      </c>
      <c r="K5" s="275"/>
    </row>
    <row r="6" spans="2:11">
      <c r="B6" s="389"/>
      <c r="C6" s="390"/>
      <c r="D6" s="389"/>
      <c r="E6" s="36" t="s">
        <v>564</v>
      </c>
      <c r="F6" s="286">
        <v>92058180</v>
      </c>
    </row>
    <row r="7" spans="2:11">
      <c r="B7" s="289" t="s">
        <v>577</v>
      </c>
      <c r="C7" s="293">
        <v>45453</v>
      </c>
      <c r="D7" s="292">
        <v>1368.5</v>
      </c>
      <c r="E7" s="36" t="s">
        <v>578</v>
      </c>
      <c r="F7" s="286">
        <v>1813000000</v>
      </c>
    </row>
    <row r="8" spans="2:11">
      <c r="B8" s="289" t="s">
        <v>590</v>
      </c>
      <c r="C8" s="293">
        <v>45532</v>
      </c>
      <c r="D8" s="292">
        <v>1337.5</v>
      </c>
      <c r="E8" s="36" t="s">
        <v>591</v>
      </c>
      <c r="F8" s="286">
        <v>1374561630</v>
      </c>
    </row>
    <row r="9" spans="2:11">
      <c r="B9" s="289" t="s">
        <v>598</v>
      </c>
      <c r="C9" s="293">
        <v>45582</v>
      </c>
      <c r="D9" s="292">
        <v>1316.7</v>
      </c>
      <c r="E9" s="36" t="s">
        <v>597</v>
      </c>
      <c r="F9" s="286">
        <v>6960000000</v>
      </c>
    </row>
    <row r="10" spans="2:11">
      <c r="B10" s="289" t="s">
        <v>608</v>
      </c>
      <c r="C10" s="293">
        <v>45680</v>
      </c>
      <c r="D10" s="292">
        <v>1454.5</v>
      </c>
      <c r="E10" s="36" t="s">
        <v>609</v>
      </c>
      <c r="F10" s="286">
        <v>14866543388.311476</v>
      </c>
    </row>
    <row r="11" spans="2:11">
      <c r="B11" s="289" t="s">
        <v>612</v>
      </c>
      <c r="C11" s="293">
        <v>45743</v>
      </c>
      <c r="D11" s="292">
        <v>1459</v>
      </c>
      <c r="E11" s="36" t="s">
        <v>615</v>
      </c>
      <c r="F11" s="286">
        <v>5979000000</v>
      </c>
      <c r="J11" s="275">
        <f>SUM(F10:F11,'Sunwood Byul'!F8:H8,'Dev JV2_Capital call-Nova'!I60:L60)</f>
        <v>58745793388.311478</v>
      </c>
    </row>
    <row r="12" spans="2:11">
      <c r="B12" s="289" t="s">
        <v>623</v>
      </c>
      <c r="C12" s="293">
        <v>45818</v>
      </c>
      <c r="D12" s="292">
        <v>1394.8</v>
      </c>
      <c r="E12" s="36" t="s">
        <v>624</v>
      </c>
      <c r="F12" s="286">
        <v>873714689</v>
      </c>
    </row>
    <row r="13" spans="2:11">
      <c r="B13" s="289" t="s">
        <v>630</v>
      </c>
      <c r="C13" s="293">
        <v>45945</v>
      </c>
      <c r="D13" s="307">
        <v>1400.5</v>
      </c>
      <c r="E13" s="36" t="s">
        <v>631</v>
      </c>
      <c r="F13" s="286">
        <v>806664370</v>
      </c>
    </row>
    <row r="14" spans="2:11">
      <c r="B14" s="289" t="s">
        <v>645</v>
      </c>
      <c r="C14" s="293">
        <v>45740</v>
      </c>
      <c r="D14" s="307">
        <v>1427.5</v>
      </c>
      <c r="E14" s="36" t="s">
        <v>646</v>
      </c>
      <c r="F14" s="286">
        <v>1795227761</v>
      </c>
    </row>
    <row r="15" spans="2:11">
      <c r="F15" s="275">
        <f>SUM(F3:F14)</f>
        <v>49450184069.311478</v>
      </c>
    </row>
    <row r="25" spans="2:6">
      <c r="B25" s="14" t="s">
        <v>55</v>
      </c>
      <c r="C25" s="15" t="s">
        <v>42</v>
      </c>
      <c r="D25" s="15" t="s">
        <v>72</v>
      </c>
      <c r="E25" s="16" t="s">
        <v>26</v>
      </c>
      <c r="F25" s="16" t="s">
        <v>549</v>
      </c>
    </row>
    <row r="26" spans="2:6">
      <c r="B26" s="389" t="s">
        <v>550</v>
      </c>
      <c r="C26" s="390">
        <v>45322</v>
      </c>
      <c r="D26" s="391">
        <v>1315</v>
      </c>
      <c r="E26" s="36" t="s">
        <v>552</v>
      </c>
      <c r="F26" s="286">
        <v>6830671.3737599999</v>
      </c>
    </row>
    <row r="27" spans="2:6">
      <c r="B27" s="389"/>
      <c r="C27" s="390"/>
      <c r="D27" s="391"/>
      <c r="E27" s="36" t="s">
        <v>554</v>
      </c>
      <c r="F27" s="286">
        <v>560517.62624000001</v>
      </c>
    </row>
    <row r="28" spans="2:6">
      <c r="B28" s="389" t="s">
        <v>560</v>
      </c>
      <c r="C28" s="390">
        <v>45364</v>
      </c>
      <c r="D28" s="389">
        <v>1331.4</v>
      </c>
      <c r="E28" s="36" t="s">
        <v>561</v>
      </c>
      <c r="F28" s="286">
        <v>3883131</v>
      </c>
    </row>
    <row r="29" spans="2:6">
      <c r="B29" s="389"/>
      <c r="C29" s="390"/>
      <c r="D29" s="389"/>
      <c r="E29" s="36" t="s">
        <v>563</v>
      </c>
      <c r="F29" s="286">
        <v>69144</v>
      </c>
    </row>
    <row r="30" spans="2:6">
      <c r="B30" s="289" t="s">
        <v>577</v>
      </c>
      <c r="C30" s="293">
        <v>45453</v>
      </c>
      <c r="D30" s="292">
        <v>1368.5</v>
      </c>
      <c r="E30" s="36" t="s">
        <v>578</v>
      </c>
      <c r="F30" s="286">
        <f>ROUND(F7/$D$30,)</f>
        <v>1324808</v>
      </c>
    </row>
    <row r="31" spans="2:6">
      <c r="B31" s="289" t="s">
        <v>590</v>
      </c>
      <c r="C31" s="293">
        <v>45532</v>
      </c>
      <c r="D31" s="292">
        <v>1337.5</v>
      </c>
      <c r="E31" s="36" t="s">
        <v>591</v>
      </c>
      <c r="F31" s="286">
        <f>ROUND(F8/$D$31,)+1</f>
        <v>1027711</v>
      </c>
    </row>
    <row r="32" spans="2:6">
      <c r="B32" s="289" t="s">
        <v>598</v>
      </c>
      <c r="C32" s="293">
        <v>45582</v>
      </c>
      <c r="D32" s="292">
        <v>1316.7</v>
      </c>
      <c r="E32" s="36" t="s">
        <v>596</v>
      </c>
      <c r="F32" s="286">
        <v>5285943</v>
      </c>
    </row>
    <row r="33" spans="2:8">
      <c r="B33" s="289" t="s">
        <v>608</v>
      </c>
      <c r="C33" s="293">
        <v>45680</v>
      </c>
      <c r="D33" s="292">
        <v>1454.5</v>
      </c>
      <c r="E33" s="36" t="s">
        <v>609</v>
      </c>
      <c r="F33" s="286">
        <v>10221067</v>
      </c>
    </row>
    <row r="34" spans="2:8">
      <c r="B34" s="289" t="s">
        <v>613</v>
      </c>
      <c r="C34" s="293">
        <v>45743</v>
      </c>
      <c r="D34" s="292">
        <v>1459</v>
      </c>
      <c r="E34" s="36" t="s">
        <v>614</v>
      </c>
      <c r="F34" s="286">
        <v>4097923</v>
      </c>
    </row>
    <row r="35" spans="2:8">
      <c r="B35" s="289" t="s">
        <v>623</v>
      </c>
      <c r="C35" s="293">
        <v>45818</v>
      </c>
      <c r="D35" s="292">
        <v>1394.8</v>
      </c>
      <c r="E35" s="36" t="s">
        <v>624</v>
      </c>
      <c r="F35" s="286">
        <v>626409</v>
      </c>
    </row>
    <row r="36" spans="2:8" s="305" customFormat="1">
      <c r="B36" s="302" t="s">
        <v>630</v>
      </c>
      <c r="C36" s="293">
        <v>45945</v>
      </c>
      <c r="D36" s="307">
        <v>1400.5</v>
      </c>
      <c r="E36" s="303" t="s">
        <v>624</v>
      </c>
      <c r="F36" s="304">
        <v>575983</v>
      </c>
      <c r="H36" s="306"/>
    </row>
    <row r="37" spans="2:8" s="305" customFormat="1">
      <c r="B37" s="289" t="s">
        <v>645</v>
      </c>
      <c r="C37" s="293">
        <v>45740</v>
      </c>
      <c r="D37" s="307">
        <v>1427.5</v>
      </c>
      <c r="E37" s="36" t="s">
        <v>646</v>
      </c>
      <c r="F37" s="304">
        <v>1257603</v>
      </c>
      <c r="H37" s="306"/>
    </row>
    <row r="38" spans="2:8">
      <c r="F38" s="294">
        <f>SUM(F26:F37)</f>
        <v>35760911</v>
      </c>
    </row>
    <row r="44" spans="2:8">
      <c r="F44" s="275">
        <f>+SUM(F26:F32)</f>
        <v>18981926</v>
      </c>
    </row>
  </sheetData>
  <mergeCells count="12">
    <mergeCell ref="D28:D29"/>
    <mergeCell ref="C28:C29"/>
    <mergeCell ref="B28:B29"/>
    <mergeCell ref="B3:B4"/>
    <mergeCell ref="C3:C4"/>
    <mergeCell ref="D3:D4"/>
    <mergeCell ref="B26:B27"/>
    <mergeCell ref="C26:C27"/>
    <mergeCell ref="D26:D27"/>
    <mergeCell ref="D5:D6"/>
    <mergeCell ref="C5:C6"/>
    <mergeCell ref="B5:B6"/>
  </mergeCells>
  <phoneticPr fontId="3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AA095-994D-400D-AE59-BF1704501400}">
  <sheetPr>
    <pageSetUpPr fitToPage="1"/>
  </sheetPr>
  <dimension ref="A5:Q19"/>
  <sheetViews>
    <sheetView zoomScaleNormal="100" workbookViewId="0">
      <selection activeCell="C28" sqref="C28"/>
    </sheetView>
  </sheetViews>
  <sheetFormatPr defaultRowHeight="16.5"/>
  <cols>
    <col min="2" max="2" width="11.125" bestFit="1" customWidth="1"/>
    <col min="3" max="3" width="40.75" bestFit="1" customWidth="1"/>
    <col min="4" max="4" width="15.5" customWidth="1"/>
    <col min="5" max="5" width="19.5" customWidth="1"/>
    <col min="6" max="6" width="17.75" customWidth="1"/>
    <col min="7" max="7" width="20.125" customWidth="1"/>
    <col min="8" max="8" width="16.625" bestFit="1" customWidth="1"/>
    <col min="12" max="12" width="26.625" bestFit="1" customWidth="1"/>
    <col min="13" max="13" width="14" bestFit="1" customWidth="1"/>
    <col min="14" max="14" width="13" bestFit="1" customWidth="1"/>
    <col min="15" max="15" width="15" bestFit="1" customWidth="1"/>
    <col min="16" max="16" width="14" bestFit="1" customWidth="1"/>
  </cols>
  <sheetData>
    <row r="5" spans="1:17">
      <c r="A5" s="131" t="s">
        <v>255</v>
      </c>
      <c r="G5" s="130" t="s">
        <v>103</v>
      </c>
    </row>
    <row r="6" spans="1:17">
      <c r="A6" s="400" t="s">
        <v>257</v>
      </c>
      <c r="B6" s="400" t="s">
        <v>258</v>
      </c>
      <c r="C6" s="400" t="s">
        <v>259</v>
      </c>
      <c r="D6" s="125" t="s">
        <v>147</v>
      </c>
      <c r="E6" s="397" t="s">
        <v>146</v>
      </c>
      <c r="F6" s="398"/>
      <c r="G6" s="399"/>
      <c r="Q6" s="130" t="s">
        <v>266</v>
      </c>
    </row>
    <row r="7" spans="1:17">
      <c r="A7" s="401"/>
      <c r="B7" s="401"/>
      <c r="C7" s="401"/>
      <c r="D7" s="120" t="s">
        <v>246</v>
      </c>
      <c r="E7" s="121" t="s">
        <v>290</v>
      </c>
      <c r="F7" s="121" t="s">
        <v>248</v>
      </c>
      <c r="G7" s="124" t="s">
        <v>247</v>
      </c>
      <c r="Q7">
        <v>1156.501857</v>
      </c>
    </row>
    <row r="8" spans="1:17">
      <c r="A8" s="8">
        <v>1</v>
      </c>
      <c r="B8" s="2">
        <v>43308</v>
      </c>
      <c r="C8" s="108" t="s">
        <v>256</v>
      </c>
      <c r="D8" s="109">
        <v>147832201298</v>
      </c>
      <c r="E8" s="110">
        <v>14506281125</v>
      </c>
      <c r="F8" s="110"/>
      <c r="G8" s="111"/>
      <c r="L8" s="123" t="s">
        <v>265</v>
      </c>
      <c r="M8" s="396" t="s">
        <v>263</v>
      </c>
      <c r="N8" s="396"/>
      <c r="O8" s="396" t="s">
        <v>264</v>
      </c>
      <c r="P8" s="396"/>
    </row>
    <row r="9" spans="1:17">
      <c r="A9" s="8">
        <v>2</v>
      </c>
      <c r="B9" s="2">
        <v>43454</v>
      </c>
      <c r="C9" s="108" t="s">
        <v>251</v>
      </c>
      <c r="D9" s="111">
        <v>22384042684</v>
      </c>
      <c r="E9" s="110"/>
      <c r="F9" s="110"/>
      <c r="G9" s="156"/>
      <c r="L9" s="108"/>
      <c r="M9" s="126" t="s">
        <v>262</v>
      </c>
      <c r="N9" s="107" t="s">
        <v>146</v>
      </c>
      <c r="O9" s="126" t="s">
        <v>262</v>
      </c>
      <c r="P9" s="107" t="s">
        <v>146</v>
      </c>
    </row>
    <row r="10" spans="1:17">
      <c r="A10" s="113" t="s">
        <v>254</v>
      </c>
      <c r="B10" s="2">
        <v>43307</v>
      </c>
      <c r="C10" s="108" t="s">
        <v>252</v>
      </c>
      <c r="D10" s="111"/>
      <c r="E10" s="110"/>
      <c r="F10" s="110"/>
      <c r="G10" s="156">
        <v>300000000</v>
      </c>
      <c r="L10" s="108" t="s">
        <v>260</v>
      </c>
      <c r="M10" s="127">
        <f>500000000*90%</f>
        <v>450000000</v>
      </c>
      <c r="N10" s="127">
        <v>50000000</v>
      </c>
      <c r="O10" s="5">
        <f>ROUND(M10*$Q$7,0)</f>
        <v>520425835650</v>
      </c>
      <c r="P10" s="5">
        <f>ROUND(N10*$Q$7,0)</f>
        <v>57825092850</v>
      </c>
    </row>
    <row r="11" spans="1:17">
      <c r="A11" s="114" t="s">
        <v>254</v>
      </c>
      <c r="B11" s="2">
        <v>43418</v>
      </c>
      <c r="C11" s="108" t="s">
        <v>253</v>
      </c>
      <c r="D11" s="111"/>
      <c r="E11" s="110"/>
      <c r="F11" s="110"/>
      <c r="G11" s="156">
        <v>1200000000</v>
      </c>
      <c r="L11" s="129" t="s">
        <v>261</v>
      </c>
      <c r="M11" s="128">
        <f>SUM(M10:M10)</f>
        <v>450000000</v>
      </c>
      <c r="N11" s="128">
        <f>SUM(N10:N10)</f>
        <v>50000000</v>
      </c>
      <c r="O11" s="132">
        <f>SUM(O10:O10)</f>
        <v>520425835650</v>
      </c>
      <c r="P11" s="132">
        <f>SUM(P10:P10)</f>
        <v>57825092850</v>
      </c>
    </row>
    <row r="12" spans="1:17">
      <c r="A12" s="114" t="s">
        <v>254</v>
      </c>
      <c r="B12" s="2">
        <v>43451</v>
      </c>
      <c r="C12" s="108" t="s">
        <v>193</v>
      </c>
      <c r="D12" s="111"/>
      <c r="E12" s="110"/>
      <c r="F12" s="110"/>
      <c r="G12" s="156">
        <v>300000000</v>
      </c>
    </row>
    <row r="13" spans="1:17">
      <c r="A13" s="115">
        <v>3</v>
      </c>
      <c r="B13" s="2">
        <v>43584</v>
      </c>
      <c r="C13" s="108" t="s">
        <v>250</v>
      </c>
      <c r="D13" s="111">
        <v>27030036086</v>
      </c>
      <c r="E13" s="110"/>
      <c r="F13" s="157">
        <v>2295248895</v>
      </c>
      <c r="G13" s="156">
        <v>300000000</v>
      </c>
    </row>
    <row r="14" spans="1:17">
      <c r="A14" s="116">
        <v>4</v>
      </c>
      <c r="B14" s="106">
        <v>43598</v>
      </c>
      <c r="C14" s="117" t="s">
        <v>249</v>
      </c>
      <c r="D14" s="111">
        <v>28800000000</v>
      </c>
      <c r="E14" s="110"/>
      <c r="F14" s="157">
        <v>2900000000</v>
      </c>
      <c r="G14" s="156">
        <v>300000000</v>
      </c>
    </row>
    <row r="15" spans="1:17">
      <c r="A15" s="394">
        <v>5</v>
      </c>
      <c r="B15" s="392">
        <v>43712</v>
      </c>
      <c r="C15" s="117" t="s">
        <v>273</v>
      </c>
      <c r="D15" s="109">
        <v>12901123694</v>
      </c>
      <c r="E15" s="158">
        <v>1433458188</v>
      </c>
      <c r="F15" s="135"/>
      <c r="G15" s="109"/>
    </row>
    <row r="16" spans="1:17">
      <c r="A16" s="395"/>
      <c r="B16" s="393"/>
      <c r="C16" s="133" t="s">
        <v>274</v>
      </c>
      <c r="D16" s="112"/>
      <c r="E16" s="134">
        <v>-1000000000</v>
      </c>
      <c r="F16" s="134"/>
      <c r="G16" s="112"/>
    </row>
    <row r="17" spans="1:8">
      <c r="A17" s="153">
        <v>6</v>
      </c>
      <c r="B17" s="154">
        <v>43742</v>
      </c>
      <c r="C17" s="155" t="s">
        <v>289</v>
      </c>
      <c r="D17" s="111">
        <v>114225782562</v>
      </c>
      <c r="E17" s="110">
        <v>12691753618</v>
      </c>
      <c r="F17" s="110"/>
      <c r="G17" s="111"/>
    </row>
    <row r="18" spans="1:8" ht="17.25" thickBot="1">
      <c r="A18" s="118"/>
      <c r="B18" s="118"/>
      <c r="C18" s="119" t="s">
        <v>50</v>
      </c>
      <c r="D18" s="136">
        <f>SUM(D8:D17)</f>
        <v>353173186324</v>
      </c>
      <c r="E18" s="137">
        <f>SUM(E8:E17)</f>
        <v>27631492931</v>
      </c>
      <c r="F18" s="137">
        <f t="shared" ref="F18:G18" si="0">SUM(F8:F16)</f>
        <v>5195248895</v>
      </c>
      <c r="G18" s="136">
        <f t="shared" si="0"/>
        <v>2400000000</v>
      </c>
      <c r="H18" s="122">
        <f>SUM(D18:G18)</f>
        <v>388399928150</v>
      </c>
    </row>
    <row r="19" spans="1:8" ht="17.25" thickTop="1"/>
  </sheetData>
  <mergeCells count="8">
    <mergeCell ref="B15:B16"/>
    <mergeCell ref="A15:A16"/>
    <mergeCell ref="O8:P8"/>
    <mergeCell ref="M8:N8"/>
    <mergeCell ref="E6:G6"/>
    <mergeCell ref="A6:A7"/>
    <mergeCell ref="B6:B7"/>
    <mergeCell ref="C6:C7"/>
  </mergeCells>
  <phoneticPr fontId="3" type="noConversion"/>
  <pageMargins left="0.7" right="0.7" top="0.75" bottom="0.75" header="0.3" footer="0.3"/>
  <pageSetup paperSize="9" scale="8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018B52DC7824448EA2159090E9BC67" ma:contentTypeVersion="15" ma:contentTypeDescription="Create a new document." ma:contentTypeScope="" ma:versionID="e010ae1ce8699e89115de36484aef5ba">
  <xsd:schema xmlns:xsd="http://www.w3.org/2001/XMLSchema" xmlns:xs="http://www.w3.org/2001/XMLSchema" xmlns:p="http://schemas.microsoft.com/office/2006/metadata/properties" xmlns:ns2="820208fe-ad33-4e02-bfe1-a5ed417ccc75" xmlns:ns3="57f0a03c-9706-4416-8f61-4875a3bed01f" targetNamespace="http://schemas.microsoft.com/office/2006/metadata/properties" ma:root="true" ma:fieldsID="c2a2e18ecb261e6f68d18bf52975416f" ns2:_="" ns3:_="">
    <xsd:import namespace="820208fe-ad33-4e02-bfe1-a5ed417ccc75"/>
    <xsd:import namespace="57f0a03c-9706-4416-8f61-4875a3bed01f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0208fe-ad33-4e02-bfe1-a5ed417ccc7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a0fa683-6aa7-411d-b604-d39447df84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f0a03c-9706-4416-8f61-4875a3bed01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d95e669-6a61-4e10-9c31-ef8322e305fe}" ma:internalName="TaxCatchAll" ma:showField="CatchAllData" ma:web="57f0a03c-9706-4416-8f61-4875a3bed0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7f0a03c-9706-4416-8f61-4875a3bed01f" xsi:nil="true"/>
    <lcf76f155ced4ddcb4097134ff3c332f xmlns="820208fe-ad33-4e02-bfe1-a5ed417ccc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B5799D-84D2-4752-9B6C-B278D592C8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808E77-C339-44F3-B35C-C88DFB1443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0208fe-ad33-4e02-bfe1-a5ed417ccc75"/>
    <ds:schemaRef ds:uri="57f0a03c-9706-4416-8f61-4875a3bed0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89D39A-CCA3-4D6A-9300-B86147582611}">
  <ds:schemaRefs>
    <ds:schemaRef ds:uri="http://schemas.microsoft.com/office/2006/metadata/properties"/>
    <ds:schemaRef ds:uri="http://schemas.microsoft.com/office/infopath/2007/PartnerControls"/>
    <ds:schemaRef ds:uri="57f0a03c-9706-4416-8f61-4875a3bed01f"/>
    <ds:schemaRef ds:uri="820208fe-ad33-4e02-bfe1-a5ed417ccc7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Capital call-Terra</vt:lpstr>
      <vt:lpstr>Acqui fund</vt:lpstr>
      <vt:lpstr>Dev JV1_Capital call-Star</vt:lpstr>
      <vt:lpstr>Dev JV2_Capital call-Nova</vt:lpstr>
      <vt:lpstr>Sunwood Byul</vt:lpstr>
      <vt:lpstr>Dangmok</vt:lpstr>
      <vt:lpstr>Income JV call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 Kim</dc:creator>
  <cp:lastModifiedBy>Seungjoon Lee</cp:lastModifiedBy>
  <cp:lastPrinted>2019-07-22T06:20:00Z</cp:lastPrinted>
  <dcterms:created xsi:type="dcterms:W3CDTF">2017-09-22T07:22:50Z</dcterms:created>
  <dcterms:modified xsi:type="dcterms:W3CDTF">2026-03-19T01:19:07Z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0x010100FA018B52DC7824448EA2159090E9BC67</vt:lpwstr>
  </property>
  <property fmtid="{D5CDD505-2E9C-101B-9397-08002B2CF9AE}" pid="3" name="Order">
    <vt:r8>167200</vt:r8>
  </property>
  <property fmtid="{D5CDD505-2E9C-101B-9397-08002B2CF9AE}" pid="4" name="MediaServiceImageTags">
    <vt:lpwstr/>
  </property>
</Properties>
</file>